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" sheetId="1" state="visible" r:id="rId1"/>
    <sheet name="Enemies" sheetId="2" state="visible" r:id="rId2"/>
    <sheet name="Boss" sheetId="3" state="visible" r:id="rId3"/>
    <sheet name="Progres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43434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11" customWidth="1" min="9" max="9"/>
  </cols>
  <sheetData>
    <row r="1">
      <c r="A1" s="1" t="inlineStr">
        <is>
          <t>PLAYER — Curve Lv 1→20 (ô xanh = sửa được)</t>
        </is>
      </c>
    </row>
    <row r="2">
      <c r="A2" t="inlineStr">
        <is>
          <t>Chỉ perLevel cho stat phẳng (HP/Dmg/Def). Stat % không dùng perLevel.</t>
        </is>
      </c>
    </row>
    <row r="4">
      <c r="A4" s="2" t="inlineStr">
        <is>
          <t>COEFFICIENTS</t>
        </is>
      </c>
    </row>
    <row r="5">
      <c r="A5" s="2" t="inlineStr">
        <is>
          <t>MaxHP</t>
        </is>
      </c>
      <c r="B5" t="inlineStr">
        <is>
          <t>base</t>
        </is>
      </c>
      <c r="C5" s="3" t="n">
        <v>60</v>
      </c>
      <c r="D5" t="inlineStr">
        <is>
          <t>perLevel</t>
        </is>
      </c>
      <c r="E5" s="3" t="n">
        <v>8</v>
      </c>
      <c r="F5" t="inlineStr">
        <is>
          <t>VIT coeff</t>
        </is>
      </c>
      <c r="G5" s="3" t="n">
        <v>6</v>
      </c>
    </row>
    <row r="6">
      <c r="A6" s="2" t="inlineStr">
        <is>
          <t>AtkDmg</t>
        </is>
      </c>
      <c r="B6" t="inlineStr">
        <is>
          <t>base</t>
        </is>
      </c>
      <c r="C6" s="3" t="n">
        <v>6</v>
      </c>
      <c r="D6" t="inlineStr">
        <is>
          <t>perLevel</t>
        </is>
      </c>
      <c r="E6" s="3" t="n">
        <v>1.2</v>
      </c>
      <c r="F6" t="inlineStr">
        <is>
          <t>STR coeff</t>
        </is>
      </c>
      <c r="G6" s="3" t="n">
        <v>1.4</v>
      </c>
      <c r="H6" t="inlineStr">
        <is>
          <t>DEX coeff</t>
        </is>
      </c>
      <c r="I6" s="3" t="n">
        <v>0.4</v>
      </c>
    </row>
    <row r="7">
      <c r="A7" s="2" t="inlineStr">
        <is>
          <t>Defense</t>
        </is>
      </c>
      <c r="B7" t="inlineStr">
        <is>
          <t>base</t>
        </is>
      </c>
      <c r="C7" s="3" t="n">
        <v>2</v>
      </c>
      <c r="D7" t="inlineStr">
        <is>
          <t>perLevel</t>
        </is>
      </c>
      <c r="E7" s="3" t="n">
        <v>0.6</v>
      </c>
      <c r="F7" t="inlineStr">
        <is>
          <t>VIT coeff</t>
        </is>
      </c>
      <c r="G7" s="3" t="n">
        <v>0.8</v>
      </c>
    </row>
    <row r="8">
      <c r="A8" s="2" t="inlineStr">
        <is>
          <t>AtkSpeed</t>
        </is>
      </c>
      <c r="B8" t="inlineStr">
        <is>
          <t>base</t>
        </is>
      </c>
      <c r="C8" s="3" t="n">
        <v>0.9</v>
      </c>
      <c r="D8" t="inlineStr">
        <is>
          <t>DEX coeff</t>
        </is>
      </c>
      <c r="E8" s="3" t="n">
        <v>0.01</v>
      </c>
      <c r="F8" t="inlineStr">
        <is>
          <t>min</t>
        </is>
      </c>
      <c r="G8" s="3" t="n">
        <v>0.3</v>
      </c>
      <c r="H8" t="inlineStr">
        <is>
          <t>max</t>
        </is>
      </c>
      <c r="I8" s="3" t="n">
        <v>2</v>
      </c>
    </row>
    <row r="10">
      <c r="A10" s="2" t="inlineStr">
        <is>
          <t>Primary @Lv1</t>
        </is>
      </c>
      <c r="B10" t="inlineStr">
        <is>
          <t>STR</t>
        </is>
      </c>
      <c r="C10" s="3" t="n">
        <v>10</v>
      </c>
      <c r="D10" t="inlineStr">
        <is>
          <t>DEX</t>
        </is>
      </c>
      <c r="E10" s="3" t="n">
        <v>10</v>
      </c>
      <c r="F10" t="inlineStr">
        <is>
          <t>VIT</t>
        </is>
      </c>
      <c r="G10" s="3" t="n">
        <v>10</v>
      </c>
    </row>
    <row r="11">
      <c r="A11" s="2" t="inlineStr">
        <is>
          <t>Primary +/level</t>
        </is>
      </c>
      <c r="C11" s="3" t="n">
        <v>1</v>
      </c>
      <c r="E11" s="3" t="n">
        <v>1</v>
      </c>
      <c r="G11" s="3" t="n">
        <v>1</v>
      </c>
    </row>
    <row r="13">
      <c r="A13" s="4" t="inlineStr">
        <is>
          <t>Lv</t>
        </is>
      </c>
      <c r="B13" s="4" t="inlineStr">
        <is>
          <t>STR</t>
        </is>
      </c>
      <c r="C13" s="4" t="inlineStr">
        <is>
          <t>DEX</t>
        </is>
      </c>
      <c r="D13" s="4" t="inlineStr">
        <is>
          <t>VIT</t>
        </is>
      </c>
      <c r="E13" s="4" t="inlineStr">
        <is>
          <t>MaxHP</t>
        </is>
      </c>
      <c r="F13" s="4" t="inlineStr">
        <is>
          <t>AtkDmg</t>
        </is>
      </c>
      <c r="G13" s="4" t="inlineStr">
        <is>
          <t>AtkSpeed</t>
        </is>
      </c>
      <c r="H13" s="4" t="inlineStr">
        <is>
          <t>DPS</t>
        </is>
      </c>
      <c r="I13" s="4" t="inlineStr">
        <is>
          <t>Defense</t>
        </is>
      </c>
    </row>
    <row r="14">
      <c r="A14" s="5" t="n">
        <v>1</v>
      </c>
      <c r="B14" s="5">
        <f>$C$10+$C$11*(1-1)</f>
        <v/>
      </c>
      <c r="C14" s="5">
        <f>$E$10+$E$11*(1-1)</f>
        <v/>
      </c>
      <c r="D14" s="5">
        <f>$G$10+$G$11*(1-1)</f>
        <v/>
      </c>
      <c r="E14" s="5">
        <f>$C$5+$E$5*(1-1)+$G$5*D14</f>
        <v/>
      </c>
      <c r="F14" s="5">
        <f>$C$6+$E$6*(1-1)+$G$6*B14+$I$6*C14</f>
        <v/>
      </c>
      <c r="G14" s="5">
        <f>MIN(MAX($C$8+$E$8*C14,$G$8),$I$8)</f>
        <v/>
      </c>
      <c r="H14" s="6">
        <f>F14*G14</f>
        <v/>
      </c>
      <c r="I14" s="5">
        <f>$C$7+$E$7*(1-1)+$G$7*D14</f>
        <v/>
      </c>
    </row>
    <row r="15">
      <c r="A15" s="5" t="n">
        <v>2</v>
      </c>
      <c r="B15" s="5">
        <f>$C$10+$C$11*(2-1)</f>
        <v/>
      </c>
      <c r="C15" s="5">
        <f>$E$10+$E$11*(2-1)</f>
        <v/>
      </c>
      <c r="D15" s="5">
        <f>$G$10+$G$11*(2-1)</f>
        <v/>
      </c>
      <c r="E15" s="5">
        <f>$C$5+$E$5*(2-1)+$G$5*D15</f>
        <v/>
      </c>
      <c r="F15" s="5">
        <f>$C$6+$E$6*(2-1)+$G$6*B15+$I$6*C15</f>
        <v/>
      </c>
      <c r="G15" s="5">
        <f>MIN(MAX($C$8+$E$8*C15,$G$8),$I$8)</f>
        <v/>
      </c>
      <c r="H15" s="6">
        <f>F15*G15</f>
        <v/>
      </c>
      <c r="I15" s="5">
        <f>$C$7+$E$7*(2-1)+$G$7*D15</f>
        <v/>
      </c>
    </row>
    <row r="16">
      <c r="A16" s="5" t="n">
        <v>3</v>
      </c>
      <c r="B16" s="5">
        <f>$C$10+$C$11*(3-1)</f>
        <v/>
      </c>
      <c r="C16" s="5">
        <f>$E$10+$E$11*(3-1)</f>
        <v/>
      </c>
      <c r="D16" s="5">
        <f>$G$10+$G$11*(3-1)</f>
        <v/>
      </c>
      <c r="E16" s="5">
        <f>$C$5+$E$5*(3-1)+$G$5*D16</f>
        <v/>
      </c>
      <c r="F16" s="5">
        <f>$C$6+$E$6*(3-1)+$G$6*B16+$I$6*C16</f>
        <v/>
      </c>
      <c r="G16" s="5">
        <f>MIN(MAX($C$8+$E$8*C16,$G$8),$I$8)</f>
        <v/>
      </c>
      <c r="H16" s="6">
        <f>F16*G16</f>
        <v/>
      </c>
      <c r="I16" s="5">
        <f>$C$7+$E$7*(3-1)+$G$7*D16</f>
        <v/>
      </c>
    </row>
    <row r="17">
      <c r="A17" s="5" t="n">
        <v>4</v>
      </c>
      <c r="B17" s="5">
        <f>$C$10+$C$11*(4-1)</f>
        <v/>
      </c>
      <c r="C17" s="5">
        <f>$E$10+$E$11*(4-1)</f>
        <v/>
      </c>
      <c r="D17" s="5">
        <f>$G$10+$G$11*(4-1)</f>
        <v/>
      </c>
      <c r="E17" s="5">
        <f>$C$5+$E$5*(4-1)+$G$5*D17</f>
        <v/>
      </c>
      <c r="F17" s="5">
        <f>$C$6+$E$6*(4-1)+$G$6*B17+$I$6*C17</f>
        <v/>
      </c>
      <c r="G17" s="5">
        <f>MIN(MAX($C$8+$E$8*C17,$G$8),$I$8)</f>
        <v/>
      </c>
      <c r="H17" s="6">
        <f>F17*G17</f>
        <v/>
      </c>
      <c r="I17" s="5">
        <f>$C$7+$E$7*(4-1)+$G$7*D17</f>
        <v/>
      </c>
    </row>
    <row r="18">
      <c r="A18" s="5" t="n">
        <v>5</v>
      </c>
      <c r="B18" s="5">
        <f>$C$10+$C$11*(5-1)</f>
        <v/>
      </c>
      <c r="C18" s="5">
        <f>$E$10+$E$11*(5-1)</f>
        <v/>
      </c>
      <c r="D18" s="5">
        <f>$G$10+$G$11*(5-1)</f>
        <v/>
      </c>
      <c r="E18" s="5">
        <f>$C$5+$E$5*(5-1)+$G$5*D18</f>
        <v/>
      </c>
      <c r="F18" s="5">
        <f>$C$6+$E$6*(5-1)+$G$6*B18+$I$6*C18</f>
        <v/>
      </c>
      <c r="G18" s="5">
        <f>MIN(MAX($C$8+$E$8*C18,$G$8),$I$8)</f>
        <v/>
      </c>
      <c r="H18" s="6">
        <f>F18*G18</f>
        <v/>
      </c>
      <c r="I18" s="5">
        <f>$C$7+$E$7*(5-1)+$G$7*D18</f>
        <v/>
      </c>
    </row>
    <row r="19">
      <c r="A19" s="5" t="n">
        <v>6</v>
      </c>
      <c r="B19" s="5">
        <f>$C$10+$C$11*(6-1)</f>
        <v/>
      </c>
      <c r="C19" s="5">
        <f>$E$10+$E$11*(6-1)</f>
        <v/>
      </c>
      <c r="D19" s="5">
        <f>$G$10+$G$11*(6-1)</f>
        <v/>
      </c>
      <c r="E19" s="5">
        <f>$C$5+$E$5*(6-1)+$G$5*D19</f>
        <v/>
      </c>
      <c r="F19" s="5">
        <f>$C$6+$E$6*(6-1)+$G$6*B19+$I$6*C19</f>
        <v/>
      </c>
      <c r="G19" s="5">
        <f>MIN(MAX($C$8+$E$8*C19,$G$8),$I$8)</f>
        <v/>
      </c>
      <c r="H19" s="6">
        <f>F19*G19</f>
        <v/>
      </c>
      <c r="I19" s="5">
        <f>$C$7+$E$7*(6-1)+$G$7*D19</f>
        <v/>
      </c>
    </row>
    <row r="20">
      <c r="A20" s="5" t="n">
        <v>7</v>
      </c>
      <c r="B20" s="5">
        <f>$C$10+$C$11*(7-1)</f>
        <v/>
      </c>
      <c r="C20" s="5">
        <f>$E$10+$E$11*(7-1)</f>
        <v/>
      </c>
      <c r="D20" s="5">
        <f>$G$10+$G$11*(7-1)</f>
        <v/>
      </c>
      <c r="E20" s="5">
        <f>$C$5+$E$5*(7-1)+$G$5*D20</f>
        <v/>
      </c>
      <c r="F20" s="5">
        <f>$C$6+$E$6*(7-1)+$G$6*B20+$I$6*C20</f>
        <v/>
      </c>
      <c r="G20" s="5">
        <f>MIN(MAX($C$8+$E$8*C20,$G$8),$I$8)</f>
        <v/>
      </c>
      <c r="H20" s="6">
        <f>F20*G20</f>
        <v/>
      </c>
      <c r="I20" s="5">
        <f>$C$7+$E$7*(7-1)+$G$7*D20</f>
        <v/>
      </c>
    </row>
    <row r="21">
      <c r="A21" s="5" t="n">
        <v>8</v>
      </c>
      <c r="B21" s="5">
        <f>$C$10+$C$11*(8-1)</f>
        <v/>
      </c>
      <c r="C21" s="5">
        <f>$E$10+$E$11*(8-1)</f>
        <v/>
      </c>
      <c r="D21" s="5">
        <f>$G$10+$G$11*(8-1)</f>
        <v/>
      </c>
      <c r="E21" s="5">
        <f>$C$5+$E$5*(8-1)+$G$5*D21</f>
        <v/>
      </c>
      <c r="F21" s="5">
        <f>$C$6+$E$6*(8-1)+$G$6*B21+$I$6*C21</f>
        <v/>
      </c>
      <c r="G21" s="5">
        <f>MIN(MAX($C$8+$E$8*C21,$G$8),$I$8)</f>
        <v/>
      </c>
      <c r="H21" s="6">
        <f>F21*G21</f>
        <v/>
      </c>
      <c r="I21" s="5">
        <f>$C$7+$E$7*(8-1)+$G$7*D21</f>
        <v/>
      </c>
    </row>
    <row r="22">
      <c r="A22" s="5" t="n">
        <v>9</v>
      </c>
      <c r="B22" s="5">
        <f>$C$10+$C$11*(9-1)</f>
        <v/>
      </c>
      <c r="C22" s="5">
        <f>$E$10+$E$11*(9-1)</f>
        <v/>
      </c>
      <c r="D22" s="5">
        <f>$G$10+$G$11*(9-1)</f>
        <v/>
      </c>
      <c r="E22" s="5">
        <f>$C$5+$E$5*(9-1)+$G$5*D22</f>
        <v/>
      </c>
      <c r="F22" s="5">
        <f>$C$6+$E$6*(9-1)+$G$6*B22+$I$6*C22</f>
        <v/>
      </c>
      <c r="G22" s="5">
        <f>MIN(MAX($C$8+$E$8*C22,$G$8),$I$8)</f>
        <v/>
      </c>
      <c r="H22" s="6">
        <f>F22*G22</f>
        <v/>
      </c>
      <c r="I22" s="5">
        <f>$C$7+$E$7*(9-1)+$G$7*D22</f>
        <v/>
      </c>
    </row>
    <row r="23">
      <c r="A23" s="5" t="n">
        <v>10</v>
      </c>
      <c r="B23" s="5">
        <f>$C$10+$C$11*(10-1)</f>
        <v/>
      </c>
      <c r="C23" s="5">
        <f>$E$10+$E$11*(10-1)</f>
        <v/>
      </c>
      <c r="D23" s="5">
        <f>$G$10+$G$11*(10-1)</f>
        <v/>
      </c>
      <c r="E23" s="5">
        <f>$C$5+$E$5*(10-1)+$G$5*D23</f>
        <v/>
      </c>
      <c r="F23" s="5">
        <f>$C$6+$E$6*(10-1)+$G$6*B23+$I$6*C23</f>
        <v/>
      </c>
      <c r="G23" s="5">
        <f>MIN(MAX($C$8+$E$8*C23,$G$8),$I$8)</f>
        <v/>
      </c>
      <c r="H23" s="6">
        <f>F23*G23</f>
        <v/>
      </c>
      <c r="I23" s="5">
        <f>$C$7+$E$7*(10-1)+$G$7*D23</f>
        <v/>
      </c>
    </row>
    <row r="24">
      <c r="A24" s="5" t="n">
        <v>11</v>
      </c>
      <c r="B24" s="5">
        <f>$C$10+$C$11*(11-1)</f>
        <v/>
      </c>
      <c r="C24" s="5">
        <f>$E$10+$E$11*(11-1)</f>
        <v/>
      </c>
      <c r="D24" s="5">
        <f>$G$10+$G$11*(11-1)</f>
        <v/>
      </c>
      <c r="E24" s="5">
        <f>$C$5+$E$5*(11-1)+$G$5*D24</f>
        <v/>
      </c>
      <c r="F24" s="5">
        <f>$C$6+$E$6*(11-1)+$G$6*B24+$I$6*C24</f>
        <v/>
      </c>
      <c r="G24" s="5">
        <f>MIN(MAX($C$8+$E$8*C24,$G$8),$I$8)</f>
        <v/>
      </c>
      <c r="H24" s="6">
        <f>F24*G24</f>
        <v/>
      </c>
      <c r="I24" s="5">
        <f>$C$7+$E$7*(11-1)+$G$7*D24</f>
        <v/>
      </c>
    </row>
    <row r="25">
      <c r="A25" s="5" t="n">
        <v>12</v>
      </c>
      <c r="B25" s="5">
        <f>$C$10+$C$11*(12-1)</f>
        <v/>
      </c>
      <c r="C25" s="5">
        <f>$E$10+$E$11*(12-1)</f>
        <v/>
      </c>
      <c r="D25" s="5">
        <f>$G$10+$G$11*(12-1)</f>
        <v/>
      </c>
      <c r="E25" s="5">
        <f>$C$5+$E$5*(12-1)+$G$5*D25</f>
        <v/>
      </c>
      <c r="F25" s="5">
        <f>$C$6+$E$6*(12-1)+$G$6*B25+$I$6*C25</f>
        <v/>
      </c>
      <c r="G25" s="5">
        <f>MIN(MAX($C$8+$E$8*C25,$G$8),$I$8)</f>
        <v/>
      </c>
      <c r="H25" s="6">
        <f>F25*G25</f>
        <v/>
      </c>
      <c r="I25" s="5">
        <f>$C$7+$E$7*(12-1)+$G$7*D25</f>
        <v/>
      </c>
    </row>
    <row r="26">
      <c r="A26" s="5" t="n">
        <v>13</v>
      </c>
      <c r="B26" s="5">
        <f>$C$10+$C$11*(13-1)</f>
        <v/>
      </c>
      <c r="C26" s="5">
        <f>$E$10+$E$11*(13-1)</f>
        <v/>
      </c>
      <c r="D26" s="5">
        <f>$G$10+$G$11*(13-1)</f>
        <v/>
      </c>
      <c r="E26" s="5">
        <f>$C$5+$E$5*(13-1)+$G$5*D26</f>
        <v/>
      </c>
      <c r="F26" s="5">
        <f>$C$6+$E$6*(13-1)+$G$6*B26+$I$6*C26</f>
        <v/>
      </c>
      <c r="G26" s="5">
        <f>MIN(MAX($C$8+$E$8*C26,$G$8),$I$8)</f>
        <v/>
      </c>
      <c r="H26" s="6">
        <f>F26*G26</f>
        <v/>
      </c>
      <c r="I26" s="5">
        <f>$C$7+$E$7*(13-1)+$G$7*D26</f>
        <v/>
      </c>
    </row>
    <row r="27">
      <c r="A27" s="5" t="n">
        <v>14</v>
      </c>
      <c r="B27" s="5">
        <f>$C$10+$C$11*(14-1)</f>
        <v/>
      </c>
      <c r="C27" s="5">
        <f>$E$10+$E$11*(14-1)</f>
        <v/>
      </c>
      <c r="D27" s="5">
        <f>$G$10+$G$11*(14-1)</f>
        <v/>
      </c>
      <c r="E27" s="5">
        <f>$C$5+$E$5*(14-1)+$G$5*D27</f>
        <v/>
      </c>
      <c r="F27" s="5">
        <f>$C$6+$E$6*(14-1)+$G$6*B27+$I$6*C27</f>
        <v/>
      </c>
      <c r="G27" s="5">
        <f>MIN(MAX($C$8+$E$8*C27,$G$8),$I$8)</f>
        <v/>
      </c>
      <c r="H27" s="6">
        <f>F27*G27</f>
        <v/>
      </c>
      <c r="I27" s="5">
        <f>$C$7+$E$7*(14-1)+$G$7*D27</f>
        <v/>
      </c>
    </row>
    <row r="28">
      <c r="A28" s="5" t="n">
        <v>15</v>
      </c>
      <c r="B28" s="5">
        <f>$C$10+$C$11*(15-1)</f>
        <v/>
      </c>
      <c r="C28" s="5">
        <f>$E$10+$E$11*(15-1)</f>
        <v/>
      </c>
      <c r="D28" s="5">
        <f>$G$10+$G$11*(15-1)</f>
        <v/>
      </c>
      <c r="E28" s="5">
        <f>$C$5+$E$5*(15-1)+$G$5*D28</f>
        <v/>
      </c>
      <c r="F28" s="5">
        <f>$C$6+$E$6*(15-1)+$G$6*B28+$I$6*C28</f>
        <v/>
      </c>
      <c r="G28" s="5">
        <f>MIN(MAX($C$8+$E$8*C28,$G$8),$I$8)</f>
        <v/>
      </c>
      <c r="H28" s="6">
        <f>F28*G28</f>
        <v/>
      </c>
      <c r="I28" s="5">
        <f>$C$7+$E$7*(15-1)+$G$7*D28</f>
        <v/>
      </c>
    </row>
    <row r="29">
      <c r="A29" s="5" t="n">
        <v>16</v>
      </c>
      <c r="B29" s="5">
        <f>$C$10+$C$11*(16-1)</f>
        <v/>
      </c>
      <c r="C29" s="5">
        <f>$E$10+$E$11*(16-1)</f>
        <v/>
      </c>
      <c r="D29" s="5">
        <f>$G$10+$G$11*(16-1)</f>
        <v/>
      </c>
      <c r="E29" s="5">
        <f>$C$5+$E$5*(16-1)+$G$5*D29</f>
        <v/>
      </c>
      <c r="F29" s="5">
        <f>$C$6+$E$6*(16-1)+$G$6*B29+$I$6*C29</f>
        <v/>
      </c>
      <c r="G29" s="5">
        <f>MIN(MAX($C$8+$E$8*C29,$G$8),$I$8)</f>
        <v/>
      </c>
      <c r="H29" s="6">
        <f>F29*G29</f>
        <v/>
      </c>
      <c r="I29" s="5">
        <f>$C$7+$E$7*(16-1)+$G$7*D29</f>
        <v/>
      </c>
    </row>
    <row r="30">
      <c r="A30" s="5" t="n">
        <v>17</v>
      </c>
      <c r="B30" s="5">
        <f>$C$10+$C$11*(17-1)</f>
        <v/>
      </c>
      <c r="C30" s="5">
        <f>$E$10+$E$11*(17-1)</f>
        <v/>
      </c>
      <c r="D30" s="5">
        <f>$G$10+$G$11*(17-1)</f>
        <v/>
      </c>
      <c r="E30" s="5">
        <f>$C$5+$E$5*(17-1)+$G$5*D30</f>
        <v/>
      </c>
      <c r="F30" s="5">
        <f>$C$6+$E$6*(17-1)+$G$6*B30+$I$6*C30</f>
        <v/>
      </c>
      <c r="G30" s="5">
        <f>MIN(MAX($C$8+$E$8*C30,$G$8),$I$8)</f>
        <v/>
      </c>
      <c r="H30" s="6">
        <f>F30*G30</f>
        <v/>
      </c>
      <c r="I30" s="5">
        <f>$C$7+$E$7*(17-1)+$G$7*D30</f>
        <v/>
      </c>
    </row>
    <row r="31">
      <c r="A31" s="5" t="n">
        <v>18</v>
      </c>
      <c r="B31" s="5">
        <f>$C$10+$C$11*(18-1)</f>
        <v/>
      </c>
      <c r="C31" s="5">
        <f>$E$10+$E$11*(18-1)</f>
        <v/>
      </c>
      <c r="D31" s="5">
        <f>$G$10+$G$11*(18-1)</f>
        <v/>
      </c>
      <c r="E31" s="5">
        <f>$C$5+$E$5*(18-1)+$G$5*D31</f>
        <v/>
      </c>
      <c r="F31" s="5">
        <f>$C$6+$E$6*(18-1)+$G$6*B31+$I$6*C31</f>
        <v/>
      </c>
      <c r="G31" s="5">
        <f>MIN(MAX($C$8+$E$8*C31,$G$8),$I$8)</f>
        <v/>
      </c>
      <c r="H31" s="6">
        <f>F31*G31</f>
        <v/>
      </c>
      <c r="I31" s="5">
        <f>$C$7+$E$7*(18-1)+$G$7*D31</f>
        <v/>
      </c>
    </row>
    <row r="32">
      <c r="A32" s="5" t="n">
        <v>19</v>
      </c>
      <c r="B32" s="5">
        <f>$C$10+$C$11*(19-1)</f>
        <v/>
      </c>
      <c r="C32" s="5">
        <f>$E$10+$E$11*(19-1)</f>
        <v/>
      </c>
      <c r="D32" s="5">
        <f>$G$10+$G$11*(19-1)</f>
        <v/>
      </c>
      <c r="E32" s="5">
        <f>$C$5+$E$5*(19-1)+$G$5*D32</f>
        <v/>
      </c>
      <c r="F32" s="5">
        <f>$C$6+$E$6*(19-1)+$G$6*B32+$I$6*C32</f>
        <v/>
      </c>
      <c r="G32" s="5">
        <f>MIN(MAX($C$8+$E$8*C32,$G$8),$I$8)</f>
        <v/>
      </c>
      <c r="H32" s="6">
        <f>F32*G32</f>
        <v/>
      </c>
      <c r="I32" s="5">
        <f>$C$7+$E$7*(19-1)+$G$7*D32</f>
        <v/>
      </c>
    </row>
    <row r="33">
      <c r="A33" s="5" t="n">
        <v>20</v>
      </c>
      <c r="B33" s="5">
        <f>$C$10+$C$11*(20-1)</f>
        <v/>
      </c>
      <c r="C33" s="5">
        <f>$E$10+$E$11*(20-1)</f>
        <v/>
      </c>
      <c r="D33" s="5">
        <f>$G$10+$G$11*(20-1)</f>
        <v/>
      </c>
      <c r="E33" s="5">
        <f>$C$5+$E$5*(20-1)+$G$5*D33</f>
        <v/>
      </c>
      <c r="F33" s="5">
        <f>$C$6+$E$6*(20-1)+$G$6*B33+$I$6*C33</f>
        <v/>
      </c>
      <c r="G33" s="5">
        <f>MIN(MAX($C$8+$E$8*C33,$G$8),$I$8)</f>
        <v/>
      </c>
      <c r="H33" s="6">
        <f>F33*G33</f>
        <v/>
      </c>
      <c r="I33" s="5">
        <f>$C$7+$E$7*(20-1)+$G$7*D33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8" customWidth="1" min="3" max="3"/>
    <col width="8" customWidth="1" min="4" max="4"/>
    <col width="8" customWidth="1" min="5" max="5"/>
    <col width="6" customWidth="1" min="6" max="6"/>
    <col width="11" customWidth="1" min="7" max="7"/>
    <col width="10" customWidth="1" min="8" max="8"/>
    <col width="20" customWidth="1" min="9" max="9"/>
    <col width="10" customWidth="1" min="10" max="10"/>
    <col width="10" customWidth="1" min="11" max="11"/>
  </cols>
  <sheetData>
    <row r="1">
      <c r="A1" s="1" t="inlineStr">
        <is>
          <t>ENEMIES — 5 archetype × 3 hạng (creep/tinh anh/chiến tướng)</t>
        </is>
      </c>
    </row>
    <row r="2">
      <c r="J2" s="2" t="inlineStr">
        <is>
          <t>Player @Lv (auto)</t>
        </is>
      </c>
    </row>
    <row r="3">
      <c r="A3" t="inlineStr">
        <is>
          <t>Floor Level</t>
        </is>
      </c>
      <c r="B3" s="3" t="n">
        <v>10</v>
      </c>
      <c r="C3" t="inlineStr">
        <is>
          <t>← đổi để xem chỉ số &amp; TTK ở cấp đó (so với người chơi cùng cấp)</t>
        </is>
      </c>
      <c r="J3" t="inlineStr">
        <is>
          <t>AtkDmg</t>
        </is>
      </c>
      <c r="K3" s="6">
        <f>INDEX(Player!$F$14:$F$33,$B$3)</f>
        <v/>
      </c>
    </row>
    <row r="4">
      <c r="J4" t="inlineStr">
        <is>
          <t>AtkSpeed</t>
        </is>
      </c>
      <c r="K4" s="6">
        <f>INDEX(Player!$G$14:$G$33,$B$3)</f>
        <v/>
      </c>
    </row>
    <row r="5">
      <c r="A5" s="2" t="inlineStr">
        <is>
          <t>RANK MULTIPLIERS</t>
        </is>
      </c>
      <c r="J5" t="inlineStr">
        <is>
          <t>MaxHP</t>
        </is>
      </c>
      <c r="K5" s="6">
        <f>INDEX(Player!$E$14:$E$33,$B$3)</f>
        <v/>
      </c>
    </row>
    <row r="6">
      <c r="A6" s="4" t="inlineStr">
        <is>
          <t>Rank</t>
        </is>
      </c>
      <c r="B6" s="4" t="inlineStr">
        <is>
          <t>HP×</t>
        </is>
      </c>
      <c r="C6" s="4" t="inlineStr">
        <is>
          <t>DMG×</t>
        </is>
      </c>
      <c r="D6" s="4" t="inlineStr">
        <is>
          <t>DEF×</t>
        </is>
      </c>
      <c r="E6" s="4" t="inlineStr">
        <is>
          <t>XP×</t>
        </is>
      </c>
      <c r="J6" t="inlineStr">
        <is>
          <t>Defense</t>
        </is>
      </c>
      <c r="K6" s="6">
        <f>INDEX(Player!$I$14:$I$33,$B$3)</f>
        <v/>
      </c>
    </row>
    <row r="7">
      <c r="A7" s="2" t="inlineStr">
        <is>
          <t>creep (thường)</t>
        </is>
      </c>
      <c r="B7" s="3" t="n">
        <v>1</v>
      </c>
      <c r="C7" s="3" t="n">
        <v>1</v>
      </c>
      <c r="D7" s="3" t="n">
        <v>1</v>
      </c>
      <c r="E7" s="3" t="n">
        <v>1</v>
      </c>
      <c r="J7" t="inlineStr">
        <is>
          <t>DPS</t>
        </is>
      </c>
      <c r="K7" s="6">
        <f>INDEX(Player!$H$14:$H$33,$B$3)</f>
        <v/>
      </c>
    </row>
    <row r="8">
      <c r="A8" s="2" t="inlineStr">
        <is>
          <t>elite (tinh anh)</t>
        </is>
      </c>
      <c r="B8" s="3" t="n">
        <v>2.4</v>
      </c>
      <c r="C8" s="3" t="n">
        <v>1.5</v>
      </c>
      <c r="D8" s="3" t="n">
        <v>1</v>
      </c>
      <c r="E8" s="3" t="n">
        <v>3.5</v>
      </c>
    </row>
    <row r="9">
      <c r="A9" s="2" t="inlineStr">
        <is>
          <t>champion (chiến tướng)</t>
        </is>
      </c>
      <c r="B9" s="3" t="n">
        <v>5.5</v>
      </c>
      <c r="C9" s="3" t="n">
        <v>2.1</v>
      </c>
      <c r="D9" s="3" t="n">
        <v>1.5</v>
      </c>
      <c r="E9" s="3" t="n">
        <v>9</v>
      </c>
    </row>
    <row r="11">
      <c r="A11" s="2" t="inlineStr">
        <is>
          <t>ARCHETYPE BASE (creep, tại floor L)</t>
        </is>
      </c>
    </row>
    <row r="12">
      <c r="A12" s="4" t="inlineStr">
        <is>
          <t>Archetype</t>
        </is>
      </c>
      <c r="B12" s="4" t="inlineStr">
        <is>
          <t>hp0</t>
        </is>
      </c>
      <c r="C12" s="4" t="inlineStr">
        <is>
          <t>hp/lvl</t>
        </is>
      </c>
      <c r="D12" s="4" t="inlineStr">
        <is>
          <t>dmg0</t>
        </is>
      </c>
      <c r="E12" s="4" t="inlineStr">
        <is>
          <t>dmg/lvl</t>
        </is>
      </c>
      <c r="F12" s="4" t="inlineStr">
        <is>
          <t>AtkSpeed</t>
        </is>
      </c>
      <c r="G12" s="4" t="inlineStr">
        <is>
          <t>defBonus</t>
        </is>
      </c>
    </row>
    <row r="13">
      <c r="A13" s="2" t="inlineStr">
        <is>
          <t>Trash Melee</t>
        </is>
      </c>
      <c r="B13" s="3" t="n">
        <v>22</v>
      </c>
      <c r="C13" s="3" t="n">
        <v>6</v>
      </c>
      <c r="D13" s="3" t="n">
        <v>10</v>
      </c>
      <c r="E13" s="3" t="n">
        <v>1.6</v>
      </c>
      <c r="F13" s="3" t="n">
        <v>0.9</v>
      </c>
      <c r="G13" s="3" t="n">
        <v>0</v>
      </c>
    </row>
    <row r="14">
      <c r="A14" s="2" t="inlineStr">
        <is>
          <t>Ranged Caster</t>
        </is>
      </c>
      <c r="B14" s="3" t="n">
        <v>14</v>
      </c>
      <c r="C14" s="3" t="n">
        <v>3.5</v>
      </c>
      <c r="D14" s="3" t="n">
        <v>11</v>
      </c>
      <c r="E14" s="3" t="n">
        <v>1.7</v>
      </c>
      <c r="F14" s="3" t="n">
        <v>0.7</v>
      </c>
      <c r="G14" s="3" t="n">
        <v>0</v>
      </c>
    </row>
    <row r="15">
      <c r="A15" s="2" t="inlineStr">
        <is>
          <t>Tank</t>
        </is>
      </c>
      <c r="B15" s="3" t="n">
        <v>45</v>
      </c>
      <c r="C15" s="3" t="n">
        <v>12</v>
      </c>
      <c r="D15" s="3" t="n">
        <v>8</v>
      </c>
      <c r="E15" s="3" t="n">
        <v>1.2</v>
      </c>
      <c r="F15" s="3" t="n">
        <v>0.6</v>
      </c>
      <c r="G15" s="3" t="n">
        <v>0.5</v>
      </c>
    </row>
    <row r="16">
      <c r="A16" s="2" t="inlineStr">
        <is>
          <t>Fast Swarm</t>
        </is>
      </c>
      <c r="B16" s="3" t="n">
        <v>10</v>
      </c>
      <c r="C16" s="3" t="n">
        <v>2.5</v>
      </c>
      <c r="D16" s="3" t="n">
        <v>7</v>
      </c>
      <c r="E16" s="3" t="n">
        <v>1.1</v>
      </c>
      <c r="F16" s="3" t="n">
        <v>1.4</v>
      </c>
      <c r="G16" s="3" t="n">
        <v>0</v>
      </c>
    </row>
    <row r="17">
      <c r="A17" s="2" t="inlineStr">
        <is>
          <t>Assassin</t>
        </is>
      </c>
      <c r="B17" s="3" t="n">
        <v>14</v>
      </c>
      <c r="C17" s="3" t="n">
        <v>3.5</v>
      </c>
      <c r="D17" s="3" t="n">
        <v>14</v>
      </c>
      <c r="E17" s="3" t="n">
        <v>2</v>
      </c>
      <c r="F17" s="3" t="n">
        <v>1.3</v>
      </c>
      <c r="G17" s="3" t="n">
        <v>0</v>
      </c>
    </row>
    <row r="19">
      <c r="A19" s="2" t="inlineStr">
        <is>
          <t>RESULT — chỉ số cuối &amp; TTK (auto)</t>
        </is>
      </c>
    </row>
    <row r="20">
      <c r="A20" s="4" t="inlineStr">
        <is>
          <t>Archetype</t>
        </is>
      </c>
      <c r="B20" s="4" t="inlineStr">
        <is>
          <t>Rank</t>
        </is>
      </c>
      <c r="C20" s="4" t="inlineStr">
        <is>
          <t>HP</t>
        </is>
      </c>
      <c r="D20" s="4" t="inlineStr">
        <is>
          <t>DMG</t>
        </is>
      </c>
      <c r="E20" s="4" t="inlineStr">
        <is>
          <t>DEF</t>
        </is>
      </c>
      <c r="F20" s="4" t="inlineStr">
        <is>
          <t>AS</t>
        </is>
      </c>
      <c r="G20" s="4" t="inlineStr">
        <is>
          <t>P.hits→kill</t>
        </is>
      </c>
      <c r="H20" s="4" t="inlineStr">
        <is>
          <t>P.TTK(s)</t>
        </is>
      </c>
      <c r="I20" s="4" t="inlineStr">
        <is>
          <t>Enemy hits→kill Player</t>
        </is>
      </c>
    </row>
    <row r="21">
      <c r="A21" s="5">
        <f>A13</f>
        <v/>
      </c>
      <c r="B21" s="5">
        <f>A7</f>
        <v/>
      </c>
      <c r="C21" s="5">
        <f>($B13+$C13*($B$3-1))*$B7</f>
        <v/>
      </c>
      <c r="D21" s="5">
        <f>($D13+$E13*($B$3-1))*$C7</f>
        <v/>
      </c>
      <c r="E21" s="5">
        <f>(1+0.3*($B$3-1))*(1+$G13)*$D7</f>
        <v/>
      </c>
      <c r="F21" s="5">
        <f>$F13</f>
        <v/>
      </c>
      <c r="G21" s="6">
        <f>C21/($K$3*100/(100+E21))</f>
        <v/>
      </c>
      <c r="H21" s="6">
        <f>C21/($K$3*100/(100+E21))/$K$4</f>
        <v/>
      </c>
      <c r="I21" s="6">
        <f>$K$5/(D21*100/(100+$K$6))</f>
        <v/>
      </c>
    </row>
    <row r="22">
      <c r="A22" s="5">
        <f>A13</f>
        <v/>
      </c>
      <c r="B22" s="5">
        <f>A8</f>
        <v/>
      </c>
      <c r="C22" s="5">
        <f>($B13+$C13*($B$3-1))*$B8</f>
        <v/>
      </c>
      <c r="D22" s="5">
        <f>($D13+$E13*($B$3-1))*$C8</f>
        <v/>
      </c>
      <c r="E22" s="5">
        <f>(1+0.3*($B$3-1))*(1+$G13)*$D8</f>
        <v/>
      </c>
      <c r="F22" s="5">
        <f>$F13</f>
        <v/>
      </c>
      <c r="G22" s="6">
        <f>C22/($K$3*100/(100+E22))</f>
        <v/>
      </c>
      <c r="H22" s="6">
        <f>C22/($K$3*100/(100+E22))/$K$4</f>
        <v/>
      </c>
      <c r="I22" s="6">
        <f>$K$5/(D22*100/(100+$K$6))</f>
        <v/>
      </c>
    </row>
    <row r="23">
      <c r="A23" s="5">
        <f>A13</f>
        <v/>
      </c>
      <c r="B23" s="5">
        <f>A9</f>
        <v/>
      </c>
      <c r="C23" s="5">
        <f>($B13+$C13*($B$3-1))*$B9</f>
        <v/>
      </c>
      <c r="D23" s="5">
        <f>($D13+$E13*($B$3-1))*$C9</f>
        <v/>
      </c>
      <c r="E23" s="5">
        <f>(1+0.3*($B$3-1))*(1+$G13)*$D9</f>
        <v/>
      </c>
      <c r="F23" s="5">
        <f>$F13</f>
        <v/>
      </c>
      <c r="G23" s="6">
        <f>C23/($K$3*100/(100+E23))</f>
        <v/>
      </c>
      <c r="H23" s="6">
        <f>C23/($K$3*100/(100+E23))/$K$4</f>
        <v/>
      </c>
      <c r="I23" s="6">
        <f>$K$5/(D23*100/(100+$K$6))</f>
        <v/>
      </c>
    </row>
    <row r="24">
      <c r="A24" s="5">
        <f>A14</f>
        <v/>
      </c>
      <c r="B24" s="5">
        <f>A7</f>
        <v/>
      </c>
      <c r="C24" s="5">
        <f>($B14+$C14*($B$3-1))*$B7</f>
        <v/>
      </c>
      <c r="D24" s="5">
        <f>($D14+$E14*($B$3-1))*$C7</f>
        <v/>
      </c>
      <c r="E24" s="5">
        <f>(1+0.3*($B$3-1))*(1+$G14)*$D7</f>
        <v/>
      </c>
      <c r="F24" s="5">
        <f>$F14</f>
        <v/>
      </c>
      <c r="G24" s="6">
        <f>C24/($K$3*100/(100+E24))</f>
        <v/>
      </c>
      <c r="H24" s="6">
        <f>C24/($K$3*100/(100+E24))/$K$4</f>
        <v/>
      </c>
      <c r="I24" s="6">
        <f>$K$5/(D24*100/(100+$K$6))</f>
        <v/>
      </c>
    </row>
    <row r="25">
      <c r="A25" s="5">
        <f>A14</f>
        <v/>
      </c>
      <c r="B25" s="5">
        <f>A8</f>
        <v/>
      </c>
      <c r="C25" s="5">
        <f>($B14+$C14*($B$3-1))*$B8</f>
        <v/>
      </c>
      <c r="D25" s="5">
        <f>($D14+$E14*($B$3-1))*$C8</f>
        <v/>
      </c>
      <c r="E25" s="5">
        <f>(1+0.3*($B$3-1))*(1+$G14)*$D8</f>
        <v/>
      </c>
      <c r="F25" s="5">
        <f>$F14</f>
        <v/>
      </c>
      <c r="G25" s="6">
        <f>C25/($K$3*100/(100+E25))</f>
        <v/>
      </c>
      <c r="H25" s="6">
        <f>C25/($K$3*100/(100+E25))/$K$4</f>
        <v/>
      </c>
      <c r="I25" s="6">
        <f>$K$5/(D25*100/(100+$K$6))</f>
        <v/>
      </c>
    </row>
    <row r="26">
      <c r="A26" s="5">
        <f>A14</f>
        <v/>
      </c>
      <c r="B26" s="5">
        <f>A9</f>
        <v/>
      </c>
      <c r="C26" s="5">
        <f>($B14+$C14*($B$3-1))*$B9</f>
        <v/>
      </c>
      <c r="D26" s="5">
        <f>($D14+$E14*($B$3-1))*$C9</f>
        <v/>
      </c>
      <c r="E26" s="5">
        <f>(1+0.3*($B$3-1))*(1+$G14)*$D9</f>
        <v/>
      </c>
      <c r="F26" s="5">
        <f>$F14</f>
        <v/>
      </c>
      <c r="G26" s="6">
        <f>C26/($K$3*100/(100+E26))</f>
        <v/>
      </c>
      <c r="H26" s="6">
        <f>C26/($K$3*100/(100+E26))/$K$4</f>
        <v/>
      </c>
      <c r="I26" s="6">
        <f>$K$5/(D26*100/(100+$K$6))</f>
        <v/>
      </c>
    </row>
    <row r="27">
      <c r="A27" s="5">
        <f>A15</f>
        <v/>
      </c>
      <c r="B27" s="5">
        <f>A7</f>
        <v/>
      </c>
      <c r="C27" s="5">
        <f>($B15+$C15*($B$3-1))*$B7</f>
        <v/>
      </c>
      <c r="D27" s="5">
        <f>($D15+$E15*($B$3-1))*$C7</f>
        <v/>
      </c>
      <c r="E27" s="5">
        <f>(1+0.3*($B$3-1))*(1+$G15)*$D7</f>
        <v/>
      </c>
      <c r="F27" s="5">
        <f>$F15</f>
        <v/>
      </c>
      <c r="G27" s="6">
        <f>C27/($K$3*100/(100+E27))</f>
        <v/>
      </c>
      <c r="H27" s="6">
        <f>C27/($K$3*100/(100+E27))/$K$4</f>
        <v/>
      </c>
      <c r="I27" s="6">
        <f>$K$5/(D27*100/(100+$K$6))</f>
        <v/>
      </c>
    </row>
    <row r="28">
      <c r="A28" s="5">
        <f>A15</f>
        <v/>
      </c>
      <c r="B28" s="5">
        <f>A8</f>
        <v/>
      </c>
      <c r="C28" s="5">
        <f>($B15+$C15*($B$3-1))*$B8</f>
        <v/>
      </c>
      <c r="D28" s="5">
        <f>($D15+$E15*($B$3-1))*$C8</f>
        <v/>
      </c>
      <c r="E28" s="5">
        <f>(1+0.3*($B$3-1))*(1+$G15)*$D8</f>
        <v/>
      </c>
      <c r="F28" s="5">
        <f>$F15</f>
        <v/>
      </c>
      <c r="G28" s="6">
        <f>C28/($K$3*100/(100+E28))</f>
        <v/>
      </c>
      <c r="H28" s="6">
        <f>C28/($K$3*100/(100+E28))/$K$4</f>
        <v/>
      </c>
      <c r="I28" s="6">
        <f>$K$5/(D28*100/(100+$K$6))</f>
        <v/>
      </c>
    </row>
    <row r="29">
      <c r="A29" s="5">
        <f>A15</f>
        <v/>
      </c>
      <c r="B29" s="5">
        <f>A9</f>
        <v/>
      </c>
      <c r="C29" s="5">
        <f>($B15+$C15*($B$3-1))*$B9</f>
        <v/>
      </c>
      <c r="D29" s="5">
        <f>($D15+$E15*($B$3-1))*$C9</f>
        <v/>
      </c>
      <c r="E29" s="5">
        <f>(1+0.3*($B$3-1))*(1+$G15)*$D9</f>
        <v/>
      </c>
      <c r="F29" s="5">
        <f>$F15</f>
        <v/>
      </c>
      <c r="G29" s="6">
        <f>C29/($K$3*100/(100+E29))</f>
        <v/>
      </c>
      <c r="H29" s="6">
        <f>C29/($K$3*100/(100+E29))/$K$4</f>
        <v/>
      </c>
      <c r="I29" s="6">
        <f>$K$5/(D29*100/(100+$K$6))</f>
        <v/>
      </c>
    </row>
    <row r="30">
      <c r="A30" s="5">
        <f>A16</f>
        <v/>
      </c>
      <c r="B30" s="5">
        <f>A7</f>
        <v/>
      </c>
      <c r="C30" s="5">
        <f>($B16+$C16*($B$3-1))*$B7</f>
        <v/>
      </c>
      <c r="D30" s="5">
        <f>($D16+$E16*($B$3-1))*$C7</f>
        <v/>
      </c>
      <c r="E30" s="5">
        <f>(1+0.3*($B$3-1))*(1+$G16)*$D7</f>
        <v/>
      </c>
      <c r="F30" s="5">
        <f>$F16</f>
        <v/>
      </c>
      <c r="G30" s="6">
        <f>C30/($K$3*100/(100+E30))</f>
        <v/>
      </c>
      <c r="H30" s="6">
        <f>C30/($K$3*100/(100+E30))/$K$4</f>
        <v/>
      </c>
      <c r="I30" s="6">
        <f>$K$5/(D30*100/(100+$K$6))</f>
        <v/>
      </c>
    </row>
    <row r="31">
      <c r="A31" s="5">
        <f>A16</f>
        <v/>
      </c>
      <c r="B31" s="5">
        <f>A8</f>
        <v/>
      </c>
      <c r="C31" s="5">
        <f>($B16+$C16*($B$3-1))*$B8</f>
        <v/>
      </c>
      <c r="D31" s="5">
        <f>($D16+$E16*($B$3-1))*$C8</f>
        <v/>
      </c>
      <c r="E31" s="5">
        <f>(1+0.3*($B$3-1))*(1+$G16)*$D8</f>
        <v/>
      </c>
      <c r="F31" s="5">
        <f>$F16</f>
        <v/>
      </c>
      <c r="G31" s="6">
        <f>C31/($K$3*100/(100+E31))</f>
        <v/>
      </c>
      <c r="H31" s="6">
        <f>C31/($K$3*100/(100+E31))/$K$4</f>
        <v/>
      </c>
      <c r="I31" s="6">
        <f>$K$5/(D31*100/(100+$K$6))</f>
        <v/>
      </c>
    </row>
    <row r="32">
      <c r="A32" s="5">
        <f>A16</f>
        <v/>
      </c>
      <c r="B32" s="5">
        <f>A9</f>
        <v/>
      </c>
      <c r="C32" s="5">
        <f>($B16+$C16*($B$3-1))*$B9</f>
        <v/>
      </c>
      <c r="D32" s="5">
        <f>($D16+$E16*($B$3-1))*$C9</f>
        <v/>
      </c>
      <c r="E32" s="5">
        <f>(1+0.3*($B$3-1))*(1+$G16)*$D9</f>
        <v/>
      </c>
      <c r="F32" s="5">
        <f>$F16</f>
        <v/>
      </c>
      <c r="G32" s="6">
        <f>C32/($K$3*100/(100+E32))</f>
        <v/>
      </c>
      <c r="H32" s="6">
        <f>C32/($K$3*100/(100+E32))/$K$4</f>
        <v/>
      </c>
      <c r="I32" s="6">
        <f>$K$5/(D32*100/(100+$K$6))</f>
        <v/>
      </c>
    </row>
    <row r="33">
      <c r="A33" s="5">
        <f>A17</f>
        <v/>
      </c>
      <c r="B33" s="5">
        <f>A7</f>
        <v/>
      </c>
      <c r="C33" s="5">
        <f>($B17+$C17*($B$3-1))*$B7</f>
        <v/>
      </c>
      <c r="D33" s="5">
        <f>($D17+$E17*($B$3-1))*$C7</f>
        <v/>
      </c>
      <c r="E33" s="5">
        <f>(1+0.3*($B$3-1))*(1+$G17)*$D7</f>
        <v/>
      </c>
      <c r="F33" s="5">
        <f>$F17</f>
        <v/>
      </c>
      <c r="G33" s="6">
        <f>C33/($K$3*100/(100+E33))</f>
        <v/>
      </c>
      <c r="H33" s="6">
        <f>C33/($K$3*100/(100+E33))/$K$4</f>
        <v/>
      </c>
      <c r="I33" s="6">
        <f>$K$5/(D33*100/(100+$K$6))</f>
        <v/>
      </c>
    </row>
    <row r="34">
      <c r="A34" s="5">
        <f>A17</f>
        <v/>
      </c>
      <c r="B34" s="5">
        <f>A8</f>
        <v/>
      </c>
      <c r="C34" s="5">
        <f>($B17+$C17*($B$3-1))*$B8</f>
        <v/>
      </c>
      <c r="D34" s="5">
        <f>($D17+$E17*($B$3-1))*$C8</f>
        <v/>
      </c>
      <c r="E34" s="5">
        <f>(1+0.3*($B$3-1))*(1+$G17)*$D8</f>
        <v/>
      </c>
      <c r="F34" s="5">
        <f>$F17</f>
        <v/>
      </c>
      <c r="G34" s="6">
        <f>C34/($K$3*100/(100+E34))</f>
        <v/>
      </c>
      <c r="H34" s="6">
        <f>C34/($K$3*100/(100+E34))/$K$4</f>
        <v/>
      </c>
      <c r="I34" s="6">
        <f>$K$5/(D34*100/(100+$K$6))</f>
        <v/>
      </c>
    </row>
    <row r="35">
      <c r="A35" s="5">
        <f>A17</f>
        <v/>
      </c>
      <c r="B35" s="5">
        <f>A9</f>
        <v/>
      </c>
      <c r="C35" s="5">
        <f>($B17+$C17*($B$3-1))*$B9</f>
        <v/>
      </c>
      <c r="D35" s="5">
        <f>($D17+$E17*($B$3-1))*$C9</f>
        <v/>
      </c>
      <c r="E35" s="5">
        <f>(1+0.3*($B$3-1))*(1+$G17)*$D9</f>
        <v/>
      </c>
      <c r="F35" s="5">
        <f>$F17</f>
        <v/>
      </c>
      <c r="G35" s="6">
        <f>C35/($K$3*100/(100+E35))</f>
        <v/>
      </c>
      <c r="H35" s="6">
        <f>C35/($K$3*100/(100+E35))/$K$4</f>
        <v/>
      </c>
      <c r="I35" s="6">
        <f>$K$5/(D35*100/(100+$K$6))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4" max="4"/>
    <col width="12" customWidth="1" min="5" max="5"/>
  </cols>
  <sheetData>
    <row r="1">
      <c r="A1" s="1" t="inlineStr">
        <is>
          <t>BOSS</t>
        </is>
      </c>
    </row>
    <row r="3">
      <c r="A3" t="inlineStr">
        <is>
          <t>Floor Level</t>
        </is>
      </c>
      <c r="B3" s="3" t="n">
        <v>10</v>
      </c>
      <c r="D3" t="inlineStr">
        <is>
          <t>Player AtkDmg</t>
        </is>
      </c>
      <c r="E3" s="6">
        <f>INDEX(Player!$F$14:$F$33,$B$3)</f>
        <v/>
      </c>
    </row>
    <row r="4">
      <c r="D4" t="inlineStr">
        <is>
          <t>Player AS</t>
        </is>
      </c>
      <c r="E4" s="6">
        <f>INDEX(Player!$G$14:$G$33,$B$3)</f>
        <v/>
      </c>
    </row>
    <row r="5">
      <c r="A5" s="2" t="inlineStr">
        <is>
          <t>COEFFICIENTS</t>
        </is>
      </c>
      <c r="D5" t="inlineStr">
        <is>
          <t>Player HP</t>
        </is>
      </c>
      <c r="E5" s="6">
        <f>INDEX(Player!$E$14:$E$33,$B$3)</f>
        <v/>
      </c>
    </row>
    <row r="6">
      <c r="A6" t="inlineStr">
        <is>
          <t>MaxHP base</t>
        </is>
      </c>
      <c r="B6" s="3" t="n">
        <v>700</v>
      </c>
      <c r="D6" t="inlineStr">
        <is>
          <t>Player DEF</t>
        </is>
      </c>
      <c r="E6" s="6">
        <f>INDEX(Player!$I$14:$I$33,$B$3)</f>
        <v/>
      </c>
    </row>
    <row r="7">
      <c r="A7" t="inlineStr">
        <is>
          <t>MaxHP /lvl</t>
        </is>
      </c>
      <c r="B7" s="3" t="n">
        <v>70</v>
      </c>
    </row>
    <row r="8">
      <c r="A8" t="inlineStr">
        <is>
          <t>AtkDmg base</t>
        </is>
      </c>
      <c r="B8" s="3" t="n">
        <v>26</v>
      </c>
    </row>
    <row r="9">
      <c r="A9" t="inlineStr">
        <is>
          <t>AtkDmg /lvl</t>
        </is>
      </c>
      <c r="B9" s="3" t="n">
        <v>2.6</v>
      </c>
    </row>
    <row r="10">
      <c r="A10" t="inlineStr">
        <is>
          <t>AtkSpeed</t>
        </is>
      </c>
      <c r="B10" s="3" t="n">
        <v>0.8</v>
      </c>
    </row>
    <row r="11">
      <c r="A11" t="inlineStr">
        <is>
          <t>Defense base</t>
        </is>
      </c>
      <c r="B11" s="3" t="n">
        <v>8</v>
      </c>
    </row>
    <row r="12">
      <c r="A12" t="inlineStr">
        <is>
          <t>Defense /lvl</t>
        </is>
      </c>
      <c r="B12" s="3" t="n">
        <v>1</v>
      </c>
    </row>
    <row r="15">
      <c r="A15" s="2" t="inlineStr">
        <is>
          <t>RESULT (auto)</t>
        </is>
      </c>
    </row>
    <row r="16">
      <c r="A16" s="2" t="inlineStr">
        <is>
          <t>Boss HP</t>
        </is>
      </c>
      <c r="B16" s="6">
        <f>$B$6+$B$7*($B$3-1)</f>
        <v/>
      </c>
    </row>
    <row r="17">
      <c r="A17" s="2" t="inlineStr">
        <is>
          <t>Boss DMG</t>
        </is>
      </c>
      <c r="B17" s="6">
        <f>$B$8+$B$9*($B$3-1)</f>
        <v/>
      </c>
    </row>
    <row r="18">
      <c r="A18" s="2" t="inlineStr">
        <is>
          <t>Boss DEF</t>
        </is>
      </c>
      <c r="B18" s="6">
        <f>$B$11+$B$12*($B$3-1)</f>
        <v/>
      </c>
    </row>
    <row r="19">
      <c r="A19" s="2" t="inlineStr">
        <is>
          <t>Player hits→kill</t>
        </is>
      </c>
      <c r="B19" s="6">
        <f>B16/($E$3*100/(100+B18))</f>
        <v/>
      </c>
    </row>
    <row r="20">
      <c r="A20" s="2" t="inlineStr">
        <is>
          <t>Player TTK (s)</t>
        </is>
      </c>
      <c r="B20" s="6">
        <f>B16/($E$3*100/(100+B18))/$E$4</f>
        <v/>
      </c>
    </row>
    <row r="21">
      <c r="A21" s="2" t="inlineStr">
        <is>
          <t>Boss hits→kill Player</t>
        </is>
      </c>
      <c r="B21" s="6">
        <f>$E$5/(B17*100/(100+$E$6))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</cols>
  <sheetData>
    <row r="1">
      <c r="A1" s="1" t="inlineStr">
        <is>
          <t>PROGRESSION — XP curve tới Lv 20</t>
        </is>
      </c>
    </row>
    <row r="3">
      <c r="A3" t="inlineStr">
        <is>
          <t>xpToNext(L) = A + B * L^exp</t>
        </is>
      </c>
    </row>
    <row r="4">
      <c r="A4" t="inlineStr">
        <is>
          <t>A</t>
        </is>
      </c>
      <c r="B4" s="3" t="n">
        <v>40</v>
      </c>
    </row>
    <row r="5">
      <c r="A5" t="inlineStr">
        <is>
          <t>B</t>
        </is>
      </c>
      <c r="B5" s="3" t="n">
        <v>12</v>
      </c>
    </row>
    <row r="6">
      <c r="A6" t="inlineStr">
        <is>
          <t>exp</t>
        </is>
      </c>
      <c r="B6" s="3" t="n">
        <v>1.6</v>
      </c>
    </row>
    <row r="8">
      <c r="A8" s="4" t="inlineStr">
        <is>
          <t>Lv→Lv+1</t>
        </is>
      </c>
      <c r="B8" s="4" t="inlineStr">
        <is>
          <t>XP cần</t>
        </is>
      </c>
      <c r="C8" s="4" t="inlineStr">
        <is>
          <t>Cộng dồn</t>
        </is>
      </c>
    </row>
    <row r="9">
      <c r="A9" s="5" t="inlineStr">
        <is>
          <t>1→2</t>
        </is>
      </c>
      <c r="B9" s="6">
        <f>ROUND($B$4+$B$5*1^$B$6,0)</f>
        <v/>
      </c>
      <c r="C9" s="6">
        <f>B9</f>
        <v/>
      </c>
    </row>
    <row r="10">
      <c r="A10" s="5" t="inlineStr">
        <is>
          <t>2→3</t>
        </is>
      </c>
      <c r="B10" s="6">
        <f>ROUND($B$4+$B$5*2^$B$6,0)</f>
        <v/>
      </c>
      <c r="C10" s="6">
        <f>C9+B10</f>
        <v/>
      </c>
    </row>
    <row r="11">
      <c r="A11" s="5" t="inlineStr">
        <is>
          <t>3→4</t>
        </is>
      </c>
      <c r="B11" s="6">
        <f>ROUND($B$4+$B$5*3^$B$6,0)</f>
        <v/>
      </c>
      <c r="C11" s="6">
        <f>C10+B11</f>
        <v/>
      </c>
    </row>
    <row r="12">
      <c r="A12" s="5" t="inlineStr">
        <is>
          <t>4→5</t>
        </is>
      </c>
      <c r="B12" s="6">
        <f>ROUND($B$4+$B$5*4^$B$6,0)</f>
        <v/>
      </c>
      <c r="C12" s="6">
        <f>C11+B12</f>
        <v/>
      </c>
    </row>
    <row r="13">
      <c r="A13" s="5" t="inlineStr">
        <is>
          <t>5→6</t>
        </is>
      </c>
      <c r="B13" s="6">
        <f>ROUND($B$4+$B$5*5^$B$6,0)</f>
        <v/>
      </c>
      <c r="C13" s="6">
        <f>C12+B13</f>
        <v/>
      </c>
    </row>
    <row r="14">
      <c r="A14" s="5" t="inlineStr">
        <is>
          <t>6→7</t>
        </is>
      </c>
      <c r="B14" s="6">
        <f>ROUND($B$4+$B$5*6^$B$6,0)</f>
        <v/>
      </c>
      <c r="C14" s="6">
        <f>C13+B14</f>
        <v/>
      </c>
    </row>
    <row r="15">
      <c r="A15" s="5" t="inlineStr">
        <is>
          <t>7→8</t>
        </is>
      </c>
      <c r="B15" s="6">
        <f>ROUND($B$4+$B$5*7^$B$6,0)</f>
        <v/>
      </c>
      <c r="C15" s="6">
        <f>C14+B15</f>
        <v/>
      </c>
    </row>
    <row r="16">
      <c r="A16" s="5" t="inlineStr">
        <is>
          <t>8→9</t>
        </is>
      </c>
      <c r="B16" s="6">
        <f>ROUND($B$4+$B$5*8^$B$6,0)</f>
        <v/>
      </c>
      <c r="C16" s="6">
        <f>C15+B16</f>
        <v/>
      </c>
    </row>
    <row r="17">
      <c r="A17" s="5" t="inlineStr">
        <is>
          <t>9→10</t>
        </is>
      </c>
      <c r="B17" s="6">
        <f>ROUND($B$4+$B$5*9^$B$6,0)</f>
        <v/>
      </c>
      <c r="C17" s="6">
        <f>C16+B17</f>
        <v/>
      </c>
    </row>
    <row r="18">
      <c r="A18" s="5" t="inlineStr">
        <is>
          <t>10→11</t>
        </is>
      </c>
      <c r="B18" s="6">
        <f>ROUND($B$4+$B$5*10^$B$6,0)</f>
        <v/>
      </c>
      <c r="C18" s="6">
        <f>C17+B18</f>
        <v/>
      </c>
    </row>
    <row r="19">
      <c r="A19" s="5" t="inlineStr">
        <is>
          <t>11→12</t>
        </is>
      </c>
      <c r="B19" s="6">
        <f>ROUND($B$4+$B$5*11^$B$6,0)</f>
        <v/>
      </c>
      <c r="C19" s="6">
        <f>C18+B19</f>
        <v/>
      </c>
    </row>
    <row r="20">
      <c r="A20" s="5" t="inlineStr">
        <is>
          <t>12→13</t>
        </is>
      </c>
      <c r="B20" s="6">
        <f>ROUND($B$4+$B$5*12^$B$6,0)</f>
        <v/>
      </c>
      <c r="C20" s="6">
        <f>C19+B20</f>
        <v/>
      </c>
    </row>
    <row r="21">
      <c r="A21" s="5" t="inlineStr">
        <is>
          <t>13→14</t>
        </is>
      </c>
      <c r="B21" s="6">
        <f>ROUND($B$4+$B$5*13^$B$6,0)</f>
        <v/>
      </c>
      <c r="C21" s="6">
        <f>C20+B21</f>
        <v/>
      </c>
    </row>
    <row r="22">
      <c r="A22" s="5" t="inlineStr">
        <is>
          <t>14→15</t>
        </is>
      </c>
      <c r="B22" s="6">
        <f>ROUND($B$4+$B$5*14^$B$6,0)</f>
        <v/>
      </c>
      <c r="C22" s="6">
        <f>C21+B22</f>
        <v/>
      </c>
    </row>
    <row r="23">
      <c r="A23" s="5" t="inlineStr">
        <is>
          <t>15→16</t>
        </is>
      </c>
      <c r="B23" s="6">
        <f>ROUND($B$4+$B$5*15^$B$6,0)</f>
        <v/>
      </c>
      <c r="C23" s="6">
        <f>C22+B23</f>
        <v/>
      </c>
    </row>
    <row r="24">
      <c r="A24" s="5" t="inlineStr">
        <is>
          <t>16→17</t>
        </is>
      </c>
      <c r="B24" s="6">
        <f>ROUND($B$4+$B$5*16^$B$6,0)</f>
        <v/>
      </c>
      <c r="C24" s="6">
        <f>C23+B24</f>
        <v/>
      </c>
    </row>
    <row r="25">
      <c r="A25" s="5" t="inlineStr">
        <is>
          <t>17→18</t>
        </is>
      </c>
      <c r="B25" s="6">
        <f>ROUND($B$4+$B$5*17^$B$6,0)</f>
        <v/>
      </c>
      <c r="C25" s="6">
        <f>C24+B25</f>
        <v/>
      </c>
    </row>
    <row r="26">
      <c r="A26" s="5" t="inlineStr">
        <is>
          <t>18→19</t>
        </is>
      </c>
      <c r="B26" s="6">
        <f>ROUND($B$4+$B$5*18^$B$6,0)</f>
        <v/>
      </c>
      <c r="C26" s="6">
        <f>C25+B26</f>
        <v/>
      </c>
    </row>
    <row r="27">
      <c r="A27" s="5" t="inlineStr">
        <is>
          <t>19→20</t>
        </is>
      </c>
      <c r="B27" s="6">
        <f>ROUND($B$4+$B$5*19^$B$6,0)</f>
        <v/>
      </c>
      <c r="C27" s="6">
        <f>C26+B27</f>
        <v/>
      </c>
    </row>
    <row r="29">
      <c r="A29" s="2" t="inlineStr">
        <is>
          <t>REWARD (× floor level)</t>
        </is>
      </c>
    </row>
    <row r="30">
      <c r="A30" s="4" t="inlineStr">
        <is>
          <t>Loại</t>
        </is>
      </c>
      <c r="B30" s="4" t="inlineStr">
        <is>
          <t>base XP</t>
        </is>
      </c>
      <c r="C30" s="4" t="inlineStr">
        <is>
          <t>× hạng</t>
        </is>
      </c>
    </row>
    <row r="31">
      <c r="A31" t="inlineStr">
        <is>
          <t>creep</t>
        </is>
      </c>
      <c r="B31" s="3" t="n">
        <v>4</v>
      </c>
      <c r="C31" t="n">
        <v>1</v>
      </c>
    </row>
    <row r="32">
      <c r="A32" t="inlineStr">
        <is>
          <t>elite</t>
        </is>
      </c>
      <c r="B32" s="3" t="n">
        <v>4</v>
      </c>
      <c r="C32" t="n">
        <v>3.5</v>
      </c>
    </row>
    <row r="33">
      <c r="A33" t="inlineStr">
        <is>
          <t>champion</t>
        </is>
      </c>
      <c r="B33" s="3" t="n">
        <v>4</v>
      </c>
      <c r="C33" t="n">
        <v>9</v>
      </c>
    </row>
    <row r="34">
      <c r="A34" t="inlineStr">
        <is>
          <t>boss (flat/floor)</t>
        </is>
      </c>
      <c r="B34" s="3" t="n">
        <v>400</v>
      </c>
      <c r="C34" t="inlineStr">
        <is>
          <t>-</t>
        </is>
      </c>
    </row>
    <row r="35">
      <c r="A35" t="inlineStr">
        <is>
          <t>room-clear (/floor)</t>
        </is>
      </c>
      <c r="B35" s="3" t="n">
        <v>25</v>
      </c>
      <c r="C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2026-07-07T10:52:53Z</dcterms:created>
  <dcterms:modified xsi:type="dcterms:W3CDTF">2026-07-07T10:52:53Z</dcterms:modified>
</cp:coreProperties>
</file>