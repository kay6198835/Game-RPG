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alculator" sheetId="1" state="visible" r:id="rId1"/>
    <sheet name="Player Lv1-20" sheetId="2" state="visible" r:id="rId2"/>
    <sheet name="Build Compare Lv20" sheetId="3" state="visible" r:id="rId3"/>
    <sheet name="Layer Demo (equipment)" sheetId="4" state="visible" r:id="rId4"/>
    <sheet name="TTK Check" sheetId="5" state="visible" r:id="rId5"/>
    <sheet name="Findings" sheetId="6" state="visible" r:id="rId6"/>
    <sheet name="All Entity Coeffici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x&quot;"/>
    <numFmt numFmtId="165" formatCode="0.0"/>
    <numFmt numFmtId="166" formatCode="0.0&quot;s&quot;"/>
  </numFmts>
  <fonts count="12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2F4858"/>
      <sz val="10"/>
    </font>
    <font>
      <i val="1"/>
      <color rgb="00888888"/>
      <sz val="9"/>
    </font>
    <font>
      <b val="1"/>
      <color rgb="00FFFFFF"/>
      <sz val="10"/>
    </font>
    <font>
      <b val="1"/>
      <sz val="9"/>
    </font>
    <font>
      <b val="1"/>
    </font>
    <font>
      <color rgb="00666666"/>
      <sz val="9"/>
    </font>
    <font>
      <i val="1"/>
      <color rgb="00C00000"/>
      <sz val="9"/>
    </font>
    <font>
      <b val="1"/>
      <color rgb="002F4858"/>
      <sz val="1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CFE8FF"/>
      </patternFill>
    </fill>
    <fill>
      <patternFill patternType="solid">
        <fgColor rgb="002F4858"/>
      </patternFill>
    </fill>
    <fill>
      <patternFill patternType="solid">
        <fgColor rgb="00F2F2F2"/>
      </patternFill>
    </fill>
    <fill>
      <patternFill patternType="solid">
        <fgColor rgb="00FFD6D6"/>
      </patternFill>
    </fill>
    <fill>
      <patternFill patternType="solid">
        <fgColor rgb="00D8F0D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3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0" borderId="1" pivotButton="0" quotePrefix="0" xfId="0"/>
    <xf numFmtId="2" fontId="0" fillId="4" borderId="1" pivotButton="0" quotePrefix="0" xfId="0"/>
    <xf numFmtId="2" fontId="7" fillId="0" borderId="1" pivotButton="0" quotePrefix="0" xfId="0"/>
    <xf numFmtId="2" fontId="0" fillId="0" borderId="1" pivotButton="0" quotePrefix="0" xfId="0"/>
    <xf numFmtId="0" fontId="8" fillId="0" borderId="0" pivotButton="0" quotePrefix="0" xfId="0"/>
    <xf numFmtId="2" fontId="0" fillId="5" borderId="1" pivotButton="0" quotePrefix="0" xfId="0"/>
    <xf numFmtId="0" fontId="9" fillId="0" borderId="0" pivotButton="0" quotePrefix="0" xfId="0"/>
    <xf numFmtId="1" fontId="0" fillId="4" borderId="1" pivotButton="0" quotePrefix="0" xfId="0"/>
    <xf numFmtId="164" fontId="0" fillId="6" borderId="0" pivotButton="0" quotePrefix="0" xfId="0"/>
    <xf numFmtId="164" fontId="0" fillId="5" borderId="0" pivotButton="0" quotePrefix="0" xfId="0"/>
    <xf numFmtId="1" fontId="0" fillId="0" borderId="1" pivotButton="0" quotePrefix="0" xfId="0"/>
    <xf numFmtId="0" fontId="3" fillId="7" borderId="1" pivotButton="0" quotePrefix="0" xfId="0"/>
    <xf numFmtId="2" fontId="0" fillId="7" borderId="1" pivotButton="0" quotePrefix="0" xfId="0"/>
    <xf numFmtId="165" fontId="0" fillId="0" borderId="1" pivotButton="0" quotePrefix="0" xfId="0"/>
    <xf numFmtId="166" fontId="0" fillId="6" borderId="1" pivotButton="0" quotePrefix="0" xfId="0"/>
    <xf numFmtId="0" fontId="0" fillId="5" borderId="1" pivotButton="0" quotePrefix="0" xfId="0"/>
    <xf numFmtId="166" fontId="0" fillId="5" borderId="1" pivotButton="0" quotePrefix="0" xfId="0"/>
    <xf numFmtId="0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1" customWidth="1" min="10" max="10"/>
    <col width="12" customWidth="1" min="11" max="11"/>
    <col width="13" customWidth="1" min="12" max="12"/>
    <col width="13" customWidth="1" min="13" max="13"/>
    <col width="14" customWidth="1" min="14" max="14"/>
    <col width="15" customWidth="1" min="15" max="15"/>
    <col width="52" customWidth="1" min="16" max="16"/>
  </cols>
  <sheetData>
    <row r="1">
      <c r="A1" s="1" t="inlineStr">
        <is>
          <t>PLAYER STAT CALCULATOR — sửa ô XANH, toàn bộ derived tự tính lại</t>
        </is>
      </c>
    </row>
    <row r="2">
      <c r="A2" s="2" t="inlineStr">
        <is>
          <t>DerivedStat = baseConstant + Level×perLevel + Σ(primary × coefficient)   |   khớp 1:1 với DerivedStatFormula.Evaluate()</t>
        </is>
      </c>
    </row>
    <row r="4">
      <c r="A4" s="3" t="inlineStr">
        <is>
          <t>Level</t>
        </is>
      </c>
      <c r="B4" s="4" t="n">
        <v>10</v>
      </c>
      <c r="C4" s="5" t="inlineStr">
        <is>
          <t>← input (1..20)</t>
        </is>
      </c>
    </row>
    <row r="6">
      <c r="A6" s="6" t="inlineStr">
        <is>
          <t>Primary</t>
        </is>
      </c>
      <c r="B6" s="6" t="inlineStr">
        <is>
          <t>BaseValue</t>
        </is>
      </c>
      <c r="C6" s="6" t="inlineStr">
        <is>
          <t>LevelUpValue
(điểm cộng)</t>
        </is>
      </c>
      <c r="D6" s="6" t="inlineStr">
        <is>
          <t>EquipmentValue
(trang bị)</t>
        </is>
      </c>
      <c r="E6" s="6" t="inlineStr">
        <is>
          <t>AdjustedValue
(Base+LevelUp)</t>
        </is>
      </c>
      <c r="F6" s="6" t="inlineStr">
        <is>
          <t>FinalValue
(+Equip)</t>
        </is>
      </c>
    </row>
    <row r="7">
      <c r="A7" s="7" t="inlineStr">
        <is>
          <t>STR</t>
        </is>
      </c>
      <c r="B7" s="4" t="n">
        <v>10</v>
      </c>
      <c r="C7" s="4" t="n">
        <v>2</v>
      </c>
      <c r="D7" s="4" t="n">
        <v>0</v>
      </c>
      <c r="E7" s="8">
        <f>B7+C7</f>
        <v/>
      </c>
      <c r="F7" s="8">
        <f>E7+D7</f>
        <v/>
      </c>
      <c r="H7" s="5" t="inlineStr">
        <is>
          <t>Điểm được cộng = Level - 1  (1 điểm/level, theo StatsSO.CalculateStatUnusedBonus)</t>
        </is>
      </c>
    </row>
    <row r="8">
      <c r="A8" s="7" t="inlineStr">
        <is>
          <t>DEX</t>
        </is>
      </c>
      <c r="B8" s="4" t="n">
        <v>10</v>
      </c>
      <c r="C8" s="4" t="n">
        <v>2</v>
      </c>
      <c r="D8" s="4" t="n">
        <v>0</v>
      </c>
      <c r="E8" s="8">
        <f>B8+C8</f>
        <v/>
      </c>
      <c r="F8" s="8">
        <f>E8+D8</f>
        <v/>
      </c>
      <c r="H8" s="9">
        <f>"Đã dùng: "&amp;SUM(C7:C11)&amp;" / "&amp;(B4-1)&amp;"  →  còn lại "&amp;(B4-1-SUM(C7:C11))</f>
        <v/>
      </c>
    </row>
    <row r="9">
      <c r="A9" s="7" t="inlineStr">
        <is>
          <t>INT</t>
        </is>
      </c>
      <c r="B9" s="4" t="n">
        <v>10</v>
      </c>
      <c r="C9" s="4" t="n">
        <v>2</v>
      </c>
      <c r="D9" s="4" t="n">
        <v>0</v>
      </c>
      <c r="E9" s="8">
        <f>B9+C9</f>
        <v/>
      </c>
      <c r="F9" s="8">
        <f>E9+D9</f>
        <v/>
      </c>
    </row>
    <row r="10">
      <c r="A10" s="7" t="inlineStr">
        <is>
          <t>VIT</t>
        </is>
      </c>
      <c r="B10" s="4" t="n">
        <v>10</v>
      </c>
      <c r="C10" s="4" t="n">
        <v>2</v>
      </c>
      <c r="D10" s="4" t="n">
        <v>0</v>
      </c>
      <c r="E10" s="8">
        <f>B10+C10</f>
        <v/>
      </c>
      <c r="F10" s="8">
        <f>E10+D10</f>
        <v/>
      </c>
    </row>
    <row r="11">
      <c r="A11" s="7" t="inlineStr">
        <is>
          <t>LUK</t>
        </is>
      </c>
      <c r="B11" s="4" t="n">
        <v>10</v>
      </c>
      <c r="C11" s="4" t="n">
        <v>1</v>
      </c>
      <c r="D11" s="4" t="n">
        <v>0</v>
      </c>
      <c r="E11" s="8">
        <f>B11+C11</f>
        <v/>
      </c>
      <c r="F11" s="8">
        <f>E11+D11</f>
        <v/>
      </c>
    </row>
    <row r="14">
      <c r="A14" s="6" t="inlineStr">
        <is>
          <t>Stat</t>
        </is>
      </c>
      <c r="B14" s="6" t="inlineStr">
        <is>
          <t>Đơn vị</t>
        </is>
      </c>
      <c r="C14" s="6" t="inlineStr">
        <is>
          <t>base</t>
        </is>
      </c>
      <c r="D14" s="6" t="inlineStr">
        <is>
          <t>perLevel</t>
        </is>
      </c>
      <c r="E14" s="6" t="inlineStr">
        <is>
          <t>STR</t>
        </is>
      </c>
      <c r="F14" s="6" t="inlineStr">
        <is>
          <t>DEX</t>
        </is>
      </c>
      <c r="G14" s="6" t="inlineStr">
        <is>
          <t>INT</t>
        </is>
      </c>
      <c r="H14" s="6" t="inlineStr">
        <is>
          <t>VIT</t>
        </is>
      </c>
      <c r="I14" s="6" t="inlineStr">
        <is>
          <t>LUK</t>
        </is>
      </c>
      <c r="J14" s="6" t="inlineStr">
        <is>
          <t>BaseValue</t>
        </is>
      </c>
      <c r="K14" s="6" t="inlineStr">
        <is>
          <t>LevelUpValue</t>
        </is>
      </c>
      <c r="L14" s="6" t="inlineStr">
        <is>
          <t>EquipByPrimary</t>
        </is>
      </c>
      <c r="M14" s="6" t="inlineStr">
        <is>
          <t>AdjustedValue</t>
        </is>
      </c>
      <c r="N14" s="6" t="inlineStr">
        <is>
          <t>FinalValue
(code hiện tại)</t>
        </is>
      </c>
      <c r="O14" s="6" t="inlineStr">
        <is>
          <t>FinalValue
(có clamp theo sheet)</t>
        </is>
      </c>
      <c r="P14" s="6" t="inlineStr">
        <is>
          <t>Công thức</t>
        </is>
      </c>
    </row>
    <row r="15">
      <c r="A15" s="7" t="inlineStr">
        <is>
          <t>MaxHP</t>
        </is>
      </c>
      <c r="B15" s="10" t="inlineStr">
        <is>
          <t>HP</t>
        </is>
      </c>
      <c r="C15" s="4" t="n">
        <v>50</v>
      </c>
      <c r="D15" s="4" t="n">
        <v>8</v>
      </c>
      <c r="E15" s="4" t="n">
        <v>2</v>
      </c>
      <c r="F15" s="4" t="n">
        <v>0</v>
      </c>
      <c r="G15" s="4" t="n">
        <v>0</v>
      </c>
      <c r="H15" s="4" t="n">
        <v>12</v>
      </c>
      <c r="I15" s="4" t="n">
        <v>0</v>
      </c>
      <c r="J15" s="11">
        <f>C15+E15*$B$7+F15*$B$8+G15*$B$9+H15*$B$10+I15*$B$11</f>
        <v/>
      </c>
      <c r="K15" s="11">
        <f>$B$4*D15+E15*$C$7+F15*$C$8+G15*$C$9+H15*$C$10+I15*$C$11</f>
        <v/>
      </c>
      <c r="L15" s="11">
        <f>E15*$D$7+F15*$D$8+G15*$D$9+H15*$D$10+I15*$D$11</f>
        <v/>
      </c>
      <c r="M15" s="11">
        <f>J15+K15</f>
        <v/>
      </c>
      <c r="N15" s="12">
        <f>M15+L15</f>
        <v/>
      </c>
      <c r="O15" s="13">
        <f>N15</f>
        <v/>
      </c>
      <c r="P15" s="14" t="inlineStr">
        <is>
          <t>MaxHP = 50 + Level×8 + STR×2 + VIT×12</t>
        </is>
      </c>
    </row>
    <row r="16">
      <c r="A16" s="7" t="inlineStr">
        <is>
          <t>MaxMana</t>
        </is>
      </c>
      <c r="B16" s="10" t="inlineStr">
        <is>
          <t>Mana</t>
        </is>
      </c>
      <c r="C16" s="4" t="n">
        <v>30</v>
      </c>
      <c r="D16" s="4" t="n">
        <v>3</v>
      </c>
      <c r="E16" s="4" t="n">
        <v>0</v>
      </c>
      <c r="F16" s="4" t="n">
        <v>0</v>
      </c>
      <c r="G16" s="4" t="n">
        <v>10</v>
      </c>
      <c r="H16" s="4" t="n">
        <v>1</v>
      </c>
      <c r="I16" s="4" t="n">
        <v>0</v>
      </c>
      <c r="J16" s="11">
        <f>C16+E16*$B$7+F16*$B$8+G16*$B$9+H16*$B$10+I16*$B$11</f>
        <v/>
      </c>
      <c r="K16" s="11">
        <f>$B$4*D16+E16*$C$7+F16*$C$8+G16*$C$9+H16*$C$10+I16*$C$11</f>
        <v/>
      </c>
      <c r="L16" s="11">
        <f>E16*$D$7+F16*$D$8+G16*$D$9+H16*$D$10+I16*$D$11</f>
        <v/>
      </c>
      <c r="M16" s="11">
        <f>J16+K16</f>
        <v/>
      </c>
      <c r="N16" s="12">
        <f>M16+L16</f>
        <v/>
      </c>
      <c r="O16" s="13">
        <f>N16</f>
        <v/>
      </c>
      <c r="P16" s="14" t="inlineStr">
        <is>
          <t>MaxMana = 30 + Level×3 + INT×10 + VIT×1</t>
        </is>
      </c>
    </row>
    <row r="17">
      <c r="A17" s="7" t="inlineStr">
        <is>
          <t>PhysicalDamage</t>
        </is>
      </c>
      <c r="B17" s="10" t="inlineStr">
        <is>
          <t>dmg/hit</t>
        </is>
      </c>
      <c r="C17" s="4" t="n">
        <v>0</v>
      </c>
      <c r="D17" s="4" t="n">
        <v>1.2</v>
      </c>
      <c r="E17" s="4" t="n">
        <v>2.2</v>
      </c>
      <c r="F17" s="4" t="n">
        <v>0.8</v>
      </c>
      <c r="G17" s="4" t="n">
        <v>0</v>
      </c>
      <c r="H17" s="4" t="n">
        <v>0</v>
      </c>
      <c r="I17" s="4" t="n">
        <v>0</v>
      </c>
      <c r="J17" s="11">
        <f>C17+E17*$B$7+F17*$B$8+G17*$B$9+H17*$B$10+I17*$B$11</f>
        <v/>
      </c>
      <c r="K17" s="11">
        <f>$B$4*D17+E17*$C$7+F17*$C$8+G17*$C$9+H17*$C$10+I17*$C$11</f>
        <v/>
      </c>
      <c r="L17" s="11">
        <f>E17*$D$7+F17*$D$8+G17*$D$9+H17*$D$10+I17*$D$11</f>
        <v/>
      </c>
      <c r="M17" s="11">
        <f>J17+K17</f>
        <v/>
      </c>
      <c r="N17" s="12">
        <f>M17+L17</f>
        <v/>
      </c>
      <c r="O17" s="13">
        <f>N17</f>
        <v/>
      </c>
      <c r="P17" s="14" t="inlineStr">
        <is>
          <t>PhysicalDamage = Level×1.2 + STR×2.2 + DEX×0.8</t>
        </is>
      </c>
    </row>
    <row r="18">
      <c r="A18" s="7" t="inlineStr">
        <is>
          <t>MagicDamage</t>
        </is>
      </c>
      <c r="B18" s="10" t="inlineStr">
        <is>
          <t>dmg/hit</t>
        </is>
      </c>
      <c r="C18" s="4" t="n">
        <v>0</v>
      </c>
      <c r="D18" s="4" t="n">
        <v>1.2</v>
      </c>
      <c r="E18" s="4" t="n">
        <v>0</v>
      </c>
      <c r="F18" s="4" t="n">
        <v>0</v>
      </c>
      <c r="G18" s="4" t="n">
        <v>2.5</v>
      </c>
      <c r="H18" s="4" t="n">
        <v>0</v>
      </c>
      <c r="I18" s="4" t="n">
        <v>0.3</v>
      </c>
      <c r="J18" s="11">
        <f>C18+E18*$B$7+F18*$B$8+G18*$B$9+H18*$B$10+I18*$B$11</f>
        <v/>
      </c>
      <c r="K18" s="11">
        <f>$B$4*D18+E18*$C$7+F18*$C$8+G18*$C$9+H18*$C$10+I18*$C$11</f>
        <v/>
      </c>
      <c r="L18" s="11">
        <f>E18*$D$7+F18*$D$8+G18*$D$9+H18*$D$10+I18*$D$11</f>
        <v/>
      </c>
      <c r="M18" s="11">
        <f>J18+K18</f>
        <v/>
      </c>
      <c r="N18" s="12">
        <f>M18+L18</f>
        <v/>
      </c>
      <c r="O18" s="13">
        <f>N18</f>
        <v/>
      </c>
      <c r="P18" s="14" t="inlineStr">
        <is>
          <t>MagicDamage = Level×1.2 + INT×2.5 + LUK×0.3</t>
        </is>
      </c>
    </row>
    <row r="19">
      <c r="A19" s="7" t="inlineStr">
        <is>
          <t>Defense</t>
        </is>
      </c>
      <c r="B19" s="10" t="inlineStr">
        <is>
          <t>flat</t>
        </is>
      </c>
      <c r="C19" s="4" t="n">
        <v>0</v>
      </c>
      <c r="D19" s="4" t="n">
        <v>0.6</v>
      </c>
      <c r="E19" s="4" t="n">
        <v>0.5</v>
      </c>
      <c r="F19" s="4" t="n">
        <v>0</v>
      </c>
      <c r="G19" s="4" t="n">
        <v>0</v>
      </c>
      <c r="H19" s="4" t="n">
        <v>1.5</v>
      </c>
      <c r="I19" s="4" t="n">
        <v>0</v>
      </c>
      <c r="J19" s="11">
        <f>C19+E19*$B$7+F19*$B$8+G19*$B$9+H19*$B$10+I19*$B$11</f>
        <v/>
      </c>
      <c r="K19" s="11">
        <f>$B$4*D19+E19*$C$7+F19*$C$8+G19*$C$9+H19*$C$10+I19*$C$11</f>
        <v/>
      </c>
      <c r="L19" s="11">
        <f>E19*$D$7+F19*$D$8+G19*$D$9+H19*$D$10+I19*$D$11</f>
        <v/>
      </c>
      <c r="M19" s="11">
        <f>J19+K19</f>
        <v/>
      </c>
      <c r="N19" s="12">
        <f>M19+L19</f>
        <v/>
      </c>
      <c r="O19" s="13">
        <f>N19</f>
        <v/>
      </c>
      <c r="P19" s="14" t="inlineStr">
        <is>
          <t>Defense = Level×0.6 + STR×0.5 + VIT×1.5</t>
        </is>
      </c>
    </row>
    <row r="20">
      <c r="A20" s="7" t="inlineStr">
        <is>
          <t>MagicDefense</t>
        </is>
      </c>
      <c r="B20" s="10" t="inlineStr">
        <is>
          <t>flat</t>
        </is>
      </c>
      <c r="C20" s="4" t="n">
        <v>0</v>
      </c>
      <c r="D20" s="4" t="n">
        <v>0.4</v>
      </c>
      <c r="E20" s="4" t="n">
        <v>0</v>
      </c>
      <c r="F20" s="4" t="n">
        <v>0</v>
      </c>
      <c r="G20" s="4" t="n">
        <v>1</v>
      </c>
      <c r="H20" s="4" t="n">
        <v>0.8</v>
      </c>
      <c r="I20" s="4" t="n">
        <v>0</v>
      </c>
      <c r="J20" s="11">
        <f>C20+E20*$B$7+F20*$B$8+G20*$B$9+H20*$B$10+I20*$B$11</f>
        <v/>
      </c>
      <c r="K20" s="11">
        <f>$B$4*D20+E20*$C$7+F20*$C$8+G20*$C$9+H20*$C$10+I20*$C$11</f>
        <v/>
      </c>
      <c r="L20" s="11">
        <f>E20*$D$7+F20*$D$8+G20*$D$9+H20*$D$10+I20*$D$11</f>
        <v/>
      </c>
      <c r="M20" s="11">
        <f>J20+K20</f>
        <v/>
      </c>
      <c r="N20" s="12">
        <f>M20+L20</f>
        <v/>
      </c>
      <c r="O20" s="13">
        <f>N20</f>
        <v/>
      </c>
      <c r="P20" s="14" t="inlineStr">
        <is>
          <t>MagicDefense = Level×0.4 + INT×1 + VIT×0.8</t>
        </is>
      </c>
    </row>
    <row r="21">
      <c r="A21" s="7" t="inlineStr">
        <is>
          <t>AttackSpeed</t>
        </is>
      </c>
      <c r="B21" s="10" t="inlineStr">
        <is>
          <t>hits/s</t>
        </is>
      </c>
      <c r="C21" s="4" t="n">
        <v>0.8</v>
      </c>
      <c r="D21" s="4" t="n">
        <v>0</v>
      </c>
      <c r="E21" s="4" t="n">
        <v>0</v>
      </c>
      <c r="F21" s="4" t="n">
        <v>0.015</v>
      </c>
      <c r="G21" s="4" t="n">
        <v>0</v>
      </c>
      <c r="H21" s="4" t="n">
        <v>0</v>
      </c>
      <c r="I21" s="4" t="n">
        <v>0</v>
      </c>
      <c r="J21" s="11">
        <f>C21+E21*$B$7+F21*$B$8+G21*$B$9+H21*$B$10+I21*$B$11</f>
        <v/>
      </c>
      <c r="K21" s="11">
        <f>$B$4*D21+E21*$C$7+F21*$C$8+G21*$C$9+H21*$C$10+I21*$C$11</f>
        <v/>
      </c>
      <c r="L21" s="11">
        <f>E21*$D$7+F21*$D$8+G21*$D$9+H21*$D$10+I21*$D$11</f>
        <v/>
      </c>
      <c r="M21" s="11">
        <f>J21+K21</f>
        <v/>
      </c>
      <c r="N21" s="12">
        <f>M21+L21</f>
        <v/>
      </c>
      <c r="O21" s="15">
        <f>MEDIAN(0.3,N21,3.0)</f>
        <v/>
      </c>
      <c r="P21" s="14" t="inlineStr">
        <is>
          <t>AttackSpeed = clamp(0.8 + DEX×0.015, 0.3, 3)</t>
        </is>
      </c>
    </row>
    <row r="22">
      <c r="A22" s="7" t="inlineStr">
        <is>
          <t>CritChance</t>
        </is>
      </c>
      <c r="B22" s="10" t="inlineStr">
        <is>
          <t>%</t>
        </is>
      </c>
      <c r="C22" s="4" t="n">
        <v>5</v>
      </c>
      <c r="D22" s="4" t="n">
        <v>0</v>
      </c>
      <c r="E22" s="4" t="n">
        <v>0</v>
      </c>
      <c r="F22" s="4" t="n">
        <v>0.05</v>
      </c>
      <c r="G22" s="4" t="n">
        <v>0</v>
      </c>
      <c r="H22" s="4" t="n">
        <v>0</v>
      </c>
      <c r="I22" s="4" t="n">
        <v>0.35</v>
      </c>
      <c r="J22" s="11">
        <f>C22+E22*$B$7+F22*$B$8+G22*$B$9+H22*$B$10+I22*$B$11</f>
        <v/>
      </c>
      <c r="K22" s="11">
        <f>$B$4*D22+E22*$C$7+F22*$C$8+G22*$C$9+H22*$C$10+I22*$C$11</f>
        <v/>
      </c>
      <c r="L22" s="11">
        <f>E22*$D$7+F22*$D$8+G22*$D$9+H22*$D$10+I22*$D$11</f>
        <v/>
      </c>
      <c r="M22" s="11">
        <f>J22+K22</f>
        <v/>
      </c>
      <c r="N22" s="12">
        <f>M22+L22</f>
        <v/>
      </c>
      <c r="O22" s="15">
        <f>MEDIAN(0.0,N22,80.0)</f>
        <v/>
      </c>
      <c r="P22" s="14" t="inlineStr">
        <is>
          <t>CritChance = clamp(5 + DEX×0.05 + LUK×0.35, 0, 80)</t>
        </is>
      </c>
    </row>
    <row r="23">
      <c r="A23" s="7" t="inlineStr">
        <is>
          <t>CritDamage</t>
        </is>
      </c>
      <c r="B23" s="10" t="inlineStr">
        <is>
          <t>%</t>
        </is>
      </c>
      <c r="C23" s="4" t="n">
        <v>150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0.8</v>
      </c>
      <c r="J23" s="11">
        <f>C23+E23*$B$7+F23*$B$8+G23*$B$9+H23*$B$10+I23*$B$11</f>
        <v/>
      </c>
      <c r="K23" s="11">
        <f>$B$4*D23+E23*$C$7+F23*$C$8+G23*$C$9+H23*$C$10+I23*$C$11</f>
        <v/>
      </c>
      <c r="L23" s="11">
        <f>E23*$D$7+F23*$D$8+G23*$D$9+H23*$D$10+I23*$D$11</f>
        <v/>
      </c>
      <c r="M23" s="11">
        <f>J23+K23</f>
        <v/>
      </c>
      <c r="N23" s="12">
        <f>M23+L23</f>
        <v/>
      </c>
      <c r="O23" s="13">
        <f>N23</f>
        <v/>
      </c>
      <c r="P23" s="14" t="inlineStr">
        <is>
          <t>CritDamage = 150 + LUK×0.8</t>
        </is>
      </c>
    </row>
    <row r="24">
      <c r="A24" s="7" t="inlineStr">
        <is>
          <t>MoveSpeed</t>
        </is>
      </c>
      <c r="B24" s="10" t="inlineStr">
        <is>
          <t>m/s</t>
        </is>
      </c>
      <c r="C24" s="4" t="n">
        <v>3</v>
      </c>
      <c r="D24" s="4" t="n">
        <v>0</v>
      </c>
      <c r="E24" s="4" t="n">
        <v>0</v>
      </c>
      <c r="F24" s="4" t="n">
        <v>0.02</v>
      </c>
      <c r="G24" s="4" t="n">
        <v>0</v>
      </c>
      <c r="H24" s="4" t="n">
        <v>0</v>
      </c>
      <c r="I24" s="4" t="n">
        <v>0</v>
      </c>
      <c r="J24" s="11">
        <f>C24+E24*$B$7+F24*$B$8+G24*$B$9+H24*$B$10+I24*$B$11</f>
        <v/>
      </c>
      <c r="K24" s="11">
        <f>$B$4*D24+E24*$C$7+F24*$C$8+G24*$C$9+H24*$C$10+I24*$C$11</f>
        <v/>
      </c>
      <c r="L24" s="11">
        <f>E24*$D$7+F24*$D$8+G24*$D$9+H24*$D$10+I24*$D$11</f>
        <v/>
      </c>
      <c r="M24" s="11">
        <f>J24+K24</f>
        <v/>
      </c>
      <c r="N24" s="12">
        <f>M24+L24</f>
        <v/>
      </c>
      <c r="O24" s="13">
        <f>N24</f>
        <v/>
      </c>
      <c r="P24" s="14" t="inlineStr">
        <is>
          <t>MoveSpeed = 3 + DEX×0.02</t>
        </is>
      </c>
    </row>
    <row r="25">
      <c r="A25" s="7" t="inlineStr">
        <is>
          <t>HPRegen</t>
        </is>
      </c>
      <c r="B25" s="10" t="inlineStr">
        <is>
          <t>HP/s</t>
        </is>
      </c>
      <c r="C25" s="4" t="n">
        <v>1</v>
      </c>
      <c r="D25" s="4" t="n">
        <v>0.1</v>
      </c>
      <c r="E25" s="4" t="n">
        <v>0</v>
      </c>
      <c r="F25" s="4" t="n">
        <v>0</v>
      </c>
      <c r="G25" s="4" t="n">
        <v>0</v>
      </c>
      <c r="H25" s="4" t="n">
        <v>0.1</v>
      </c>
      <c r="I25" s="4" t="n">
        <v>0</v>
      </c>
      <c r="J25" s="11">
        <f>C25+E25*$B$7+F25*$B$8+G25*$B$9+H25*$B$10+I25*$B$11</f>
        <v/>
      </c>
      <c r="K25" s="11">
        <f>$B$4*D25+E25*$C$7+F25*$C$8+G25*$C$9+H25*$C$10+I25*$C$11</f>
        <v/>
      </c>
      <c r="L25" s="11">
        <f>E25*$D$7+F25*$D$8+G25*$D$9+H25*$D$10+I25*$D$11</f>
        <v/>
      </c>
      <c r="M25" s="11">
        <f>J25+K25</f>
        <v/>
      </c>
      <c r="N25" s="12">
        <f>M25+L25</f>
        <v/>
      </c>
      <c r="O25" s="13">
        <f>N25</f>
        <v/>
      </c>
      <c r="P25" s="14" t="inlineStr">
        <is>
          <t>HPRegen = 1 + Level×0.1 + VIT×0.1</t>
        </is>
      </c>
    </row>
    <row r="26">
      <c r="A26" s="7" t="inlineStr">
        <is>
          <t>ManaRegen</t>
        </is>
      </c>
      <c r="B26" s="10" t="inlineStr">
        <is>
          <t>Mana/s</t>
        </is>
      </c>
      <c r="C26" s="4" t="n">
        <v>1</v>
      </c>
      <c r="D26" s="4" t="n">
        <v>0.08</v>
      </c>
      <c r="E26" s="4" t="n">
        <v>0</v>
      </c>
      <c r="F26" s="4" t="n">
        <v>0</v>
      </c>
      <c r="G26" s="4" t="n">
        <v>0.08</v>
      </c>
      <c r="H26" s="4" t="n">
        <v>0</v>
      </c>
      <c r="I26" s="4" t="n">
        <v>0</v>
      </c>
      <c r="J26" s="11">
        <f>C26+E26*$B$7+F26*$B$8+G26*$B$9+H26*$B$10+I26*$B$11</f>
        <v/>
      </c>
      <c r="K26" s="11">
        <f>$B$4*D26+E26*$C$7+F26*$C$8+G26*$C$9+H26*$C$10+I26*$C$11</f>
        <v/>
      </c>
      <c r="L26" s="11">
        <f>E26*$D$7+F26*$D$8+G26*$D$9+H26*$D$10+I26*$D$11</f>
        <v/>
      </c>
      <c r="M26" s="11">
        <f>J26+K26</f>
        <v/>
      </c>
      <c r="N26" s="12">
        <f>M26+L26</f>
        <v/>
      </c>
      <c r="O26" s="13">
        <f>N26</f>
        <v/>
      </c>
      <c r="P26" s="14" t="inlineStr">
        <is>
          <t>ManaRegen = 1 + Level×0.08 + INT×0.08</t>
        </is>
      </c>
    </row>
    <row r="27">
      <c r="A27" s="7" t="inlineStr">
        <is>
          <t>Evasion</t>
        </is>
      </c>
      <c r="B27" s="10" t="inlineStr">
        <is>
          <t>%</t>
        </is>
      </c>
      <c r="C27" s="4" t="n">
        <v>0</v>
      </c>
      <c r="D27" s="4" t="n">
        <v>0</v>
      </c>
      <c r="E27" s="4" t="n">
        <v>0</v>
      </c>
      <c r="F27" s="4" t="n">
        <v>0.25</v>
      </c>
      <c r="G27" s="4" t="n">
        <v>0</v>
      </c>
      <c r="H27" s="4" t="n">
        <v>0</v>
      </c>
      <c r="I27" s="4" t="n">
        <v>0.1</v>
      </c>
      <c r="J27" s="11">
        <f>C27+E27*$B$7+F27*$B$8+G27*$B$9+H27*$B$10+I27*$B$11</f>
        <v/>
      </c>
      <c r="K27" s="11">
        <f>$B$4*D27+E27*$C$7+F27*$C$8+G27*$C$9+H27*$C$10+I27*$C$11</f>
        <v/>
      </c>
      <c r="L27" s="11">
        <f>E27*$D$7+F27*$D$8+G27*$D$9+H27*$D$10+I27*$D$11</f>
        <v/>
      </c>
      <c r="M27" s="11">
        <f>J27+K27</f>
        <v/>
      </c>
      <c r="N27" s="12">
        <f>M27+L27</f>
        <v/>
      </c>
      <c r="O27" s="15">
        <f>MEDIAN(0.0,N27,75.0)</f>
        <v/>
      </c>
      <c r="P27" s="14" t="inlineStr">
        <is>
          <t>Evasion = clamp(DEX×0.25 + LUK×0.1, 0, 75)</t>
        </is>
      </c>
    </row>
    <row r="28">
      <c r="A28" s="7" t="inlineStr">
        <is>
          <t>LifeSteal</t>
        </is>
      </c>
      <c r="B28" s="10" t="inlineStr">
        <is>
          <t>%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0.05</v>
      </c>
      <c r="J28" s="11">
        <f>C28+E28*$B$7+F28*$B$8+G28*$B$9+H28*$B$10+I28*$B$11</f>
        <v/>
      </c>
      <c r="K28" s="11">
        <f>$B$4*D28+E28*$C$7+F28*$C$8+G28*$C$9+H28*$C$10+I28*$C$11</f>
        <v/>
      </c>
      <c r="L28" s="11">
        <f>E28*$D$7+F28*$D$8+G28*$D$9+H28*$D$10+I28*$D$11</f>
        <v/>
      </c>
      <c r="M28" s="11">
        <f>J28+K28</f>
        <v/>
      </c>
      <c r="N28" s="12">
        <f>M28+L28</f>
        <v/>
      </c>
      <c r="O28" s="13">
        <f>N28</f>
        <v/>
      </c>
      <c r="P28" s="14" t="inlineStr">
        <is>
          <t>LifeSteal = LUK×0.05</t>
        </is>
      </c>
    </row>
    <row r="29">
      <c r="A29" s="7" t="inlineStr">
        <is>
          <t>CrowdControlResist</t>
        </is>
      </c>
      <c r="B29" s="10" t="inlineStr">
        <is>
          <t>%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11">
        <f>C29+E29*$B$7+F29*$B$8+G29*$B$9+H29*$B$10+I29*$B$11</f>
        <v/>
      </c>
      <c r="K29" s="11">
        <f>$B$4*D29+E29*$C$7+F29*$C$8+G29*$C$9+H29*$C$10+I29*$C$11</f>
        <v/>
      </c>
      <c r="L29" s="11">
        <f>E29*$D$7+F29*$D$8+G29*$D$9+H29*$D$10+I29*$D$11</f>
        <v/>
      </c>
      <c r="M29" s="11">
        <f>J29+K29</f>
        <v/>
      </c>
      <c r="N29" s="12">
        <f>M29+L29</f>
        <v/>
      </c>
      <c r="O29" s="13">
        <f>N29</f>
        <v/>
      </c>
      <c r="P29" s="14" t="inlineStr">
        <is>
          <t>CrowdControlResist = 0  (cố định)</t>
        </is>
      </c>
    </row>
    <row r="30">
      <c r="A30" s="7" t="inlineStr">
        <is>
          <t>AttackRange</t>
        </is>
      </c>
      <c r="B30" s="10" t="inlineStr">
        <is>
          <t>m</t>
        </is>
      </c>
      <c r="C30" s="4" t="n">
        <v>1.5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11">
        <f>C30+E30*$B$7+F30*$B$8+G30*$B$9+H30*$B$10+I30*$B$11</f>
        <v/>
      </c>
      <c r="K30" s="11">
        <f>$B$4*D30+E30*$C$7+F30*$C$8+G30*$C$9+H30*$C$10+I30*$C$11</f>
        <v/>
      </c>
      <c r="L30" s="11">
        <f>E30*$D$7+F30*$D$8+G30*$D$9+H30*$D$10+I30*$D$11</f>
        <v/>
      </c>
      <c r="M30" s="11">
        <f>J30+K30</f>
        <v/>
      </c>
      <c r="N30" s="12">
        <f>M30+L30</f>
        <v/>
      </c>
      <c r="O30" s="13">
        <f>N30</f>
        <v/>
      </c>
      <c r="P30" s="14" t="inlineStr">
        <is>
          <t>AttackRange = 1.5  (cố định)</t>
        </is>
      </c>
    </row>
    <row r="32">
      <c r="A32" s="16" t="inlineStr">
        <is>
          <t>Ô hồng = stat có clamp trong bảng công thức nhưng DerivedStatFormula CHƯA hỗ trợ min/max → cột N và O lệch nhau khi vượt ngưỡng.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DEMO ĐẦY ĐỦ — Player Lv1→20, build cân bằng (1 điểm/level, vòng STR→DEX→INT→VIT→LUK)</t>
        </is>
      </c>
    </row>
    <row r="2">
      <c r="A2" s="2" t="inlineStr">
        <is>
          <t>Primary mẫu Lv1 = STR10 / DEX10 / INT10 / VIT10 / LUK10.  Mọi số derived dưới đây do công thức tự sinh, không nhập tay.</t>
        </is>
      </c>
    </row>
    <row r="4">
      <c r="A4" s="6" t="inlineStr">
        <is>
          <t>Level</t>
        </is>
      </c>
      <c r="B4" s="6" t="inlineStr">
        <is>
          <t>STR</t>
        </is>
      </c>
      <c r="C4" s="6" t="inlineStr">
        <is>
          <t>DEX</t>
        </is>
      </c>
      <c r="D4" s="6" t="inlineStr">
        <is>
          <t>INT</t>
        </is>
      </c>
      <c r="E4" s="6" t="inlineStr">
        <is>
          <t>VIT</t>
        </is>
      </c>
      <c r="F4" s="6" t="inlineStr">
        <is>
          <t>LUK</t>
        </is>
      </c>
      <c r="G4" s="6" t="inlineStr">
        <is>
          <t>MaxHP</t>
        </is>
      </c>
      <c r="H4" s="6" t="inlineStr">
        <is>
          <t>MaxMana</t>
        </is>
      </c>
      <c r="I4" s="6" t="inlineStr">
        <is>
          <t>PhysicalDamage</t>
        </is>
      </c>
      <c r="J4" s="6" t="inlineStr">
        <is>
          <t>MagicDamage</t>
        </is>
      </c>
      <c r="K4" s="6" t="inlineStr">
        <is>
          <t>Defense</t>
        </is>
      </c>
      <c r="L4" s="6" t="inlineStr">
        <is>
          <t>MagicDefense</t>
        </is>
      </c>
      <c r="M4" s="6" t="inlineStr">
        <is>
          <t>AttackSpeed</t>
        </is>
      </c>
      <c r="N4" s="6" t="inlineStr">
        <is>
          <t>CritChance</t>
        </is>
      </c>
      <c r="O4" s="6" t="inlineStr">
        <is>
          <t>CritDamage</t>
        </is>
      </c>
      <c r="P4" s="6" t="inlineStr">
        <is>
          <t>MoveSpeed</t>
        </is>
      </c>
      <c r="Q4" s="6" t="inlineStr">
        <is>
          <t>HPRegen</t>
        </is>
      </c>
      <c r="R4" s="6" t="inlineStr">
        <is>
          <t>ManaRegen</t>
        </is>
      </c>
      <c r="S4" s="6" t="inlineStr">
        <is>
          <t>Evasion</t>
        </is>
      </c>
      <c r="T4" s="6" t="inlineStr">
        <is>
          <t>LifeSteal</t>
        </is>
      </c>
      <c r="U4" s="6" t="inlineStr">
        <is>
          <t>CrowdControlResist</t>
        </is>
      </c>
      <c r="V4" s="6" t="inlineStr">
        <is>
          <t>AttackRange</t>
        </is>
      </c>
    </row>
    <row r="5">
      <c r="A5" s="7" t="n">
        <v>1</v>
      </c>
      <c r="B5" s="17" t="n">
        <v>10</v>
      </c>
      <c r="C5" s="17" t="n">
        <v>10</v>
      </c>
      <c r="D5" s="17" t="n">
        <v>10</v>
      </c>
      <c r="E5" s="17" t="n">
        <v>10</v>
      </c>
      <c r="F5" s="17" t="n">
        <v>10</v>
      </c>
      <c r="G5" s="13" t="n">
        <v>198</v>
      </c>
      <c r="H5" s="13" t="n">
        <v>143</v>
      </c>
      <c r="I5" s="13" t="n">
        <v>31.2</v>
      </c>
      <c r="J5" s="13" t="n">
        <v>29.2</v>
      </c>
      <c r="K5" s="13" t="n">
        <v>20.6</v>
      </c>
      <c r="L5" s="13" t="n">
        <v>18.4</v>
      </c>
      <c r="M5" s="13" t="n">
        <v>0.95</v>
      </c>
      <c r="N5" s="13" t="n">
        <v>9</v>
      </c>
      <c r="O5" s="13" t="n">
        <v>158</v>
      </c>
      <c r="P5" s="13" t="n">
        <v>3.2</v>
      </c>
      <c r="Q5" s="13" t="n">
        <v>2.1</v>
      </c>
      <c r="R5" s="13" t="n">
        <v>1.88</v>
      </c>
      <c r="S5" s="13" t="n">
        <v>3.5</v>
      </c>
      <c r="T5" s="13" t="n">
        <v>0.5</v>
      </c>
      <c r="U5" s="13" t="n">
        <v>0</v>
      </c>
      <c r="V5" s="13" t="n">
        <v>1.5</v>
      </c>
    </row>
    <row r="6">
      <c r="A6" s="7" t="n">
        <v>2</v>
      </c>
      <c r="B6" s="17" t="n">
        <v>11</v>
      </c>
      <c r="C6" s="17" t="n">
        <v>10</v>
      </c>
      <c r="D6" s="17" t="n">
        <v>10</v>
      </c>
      <c r="E6" s="17" t="n">
        <v>10</v>
      </c>
      <c r="F6" s="17" t="n">
        <v>10</v>
      </c>
      <c r="G6" s="13" t="n">
        <v>208</v>
      </c>
      <c r="H6" s="13" t="n">
        <v>146</v>
      </c>
      <c r="I6" s="13" t="n">
        <v>34.6</v>
      </c>
      <c r="J6" s="13" t="n">
        <v>30.4</v>
      </c>
      <c r="K6" s="13" t="n">
        <v>21.7</v>
      </c>
      <c r="L6" s="13" t="n">
        <v>18.8</v>
      </c>
      <c r="M6" s="13" t="n">
        <v>0.95</v>
      </c>
      <c r="N6" s="13" t="n">
        <v>9</v>
      </c>
      <c r="O6" s="13" t="n">
        <v>158</v>
      </c>
      <c r="P6" s="13" t="n">
        <v>3.2</v>
      </c>
      <c r="Q6" s="13" t="n">
        <v>2.2</v>
      </c>
      <c r="R6" s="13" t="n">
        <v>1.96</v>
      </c>
      <c r="S6" s="13" t="n">
        <v>3.5</v>
      </c>
      <c r="T6" s="13" t="n">
        <v>0.5</v>
      </c>
      <c r="U6" s="13" t="n">
        <v>0</v>
      </c>
      <c r="V6" s="13" t="n">
        <v>1.5</v>
      </c>
    </row>
    <row r="7">
      <c r="A7" s="7" t="n">
        <v>3</v>
      </c>
      <c r="B7" s="17" t="n">
        <v>11</v>
      </c>
      <c r="C7" s="17" t="n">
        <v>11</v>
      </c>
      <c r="D7" s="17" t="n">
        <v>10</v>
      </c>
      <c r="E7" s="17" t="n">
        <v>10</v>
      </c>
      <c r="F7" s="17" t="n">
        <v>10</v>
      </c>
      <c r="G7" s="13" t="n">
        <v>216</v>
      </c>
      <c r="H7" s="13" t="n">
        <v>149</v>
      </c>
      <c r="I7" s="13" t="n">
        <v>36.6</v>
      </c>
      <c r="J7" s="13" t="n">
        <v>31.6</v>
      </c>
      <c r="K7" s="13" t="n">
        <v>22.3</v>
      </c>
      <c r="L7" s="13" t="n">
        <v>19.2</v>
      </c>
      <c r="M7" s="13" t="n">
        <v>0.965</v>
      </c>
      <c r="N7" s="13" t="n">
        <v>9.050000000000001</v>
      </c>
      <c r="O7" s="13" t="n">
        <v>158</v>
      </c>
      <c r="P7" s="13" t="n">
        <v>3.22</v>
      </c>
      <c r="Q7" s="13" t="n">
        <v>2.3</v>
      </c>
      <c r="R7" s="13" t="n">
        <v>2.04</v>
      </c>
      <c r="S7" s="13" t="n">
        <v>3.75</v>
      </c>
      <c r="T7" s="13" t="n">
        <v>0.5</v>
      </c>
      <c r="U7" s="13" t="n">
        <v>0</v>
      </c>
      <c r="V7" s="13" t="n">
        <v>1.5</v>
      </c>
    </row>
    <row r="8">
      <c r="A8" s="7" t="n">
        <v>4</v>
      </c>
      <c r="B8" s="17" t="n">
        <v>11</v>
      </c>
      <c r="C8" s="17" t="n">
        <v>11</v>
      </c>
      <c r="D8" s="17" t="n">
        <v>11</v>
      </c>
      <c r="E8" s="17" t="n">
        <v>10</v>
      </c>
      <c r="F8" s="17" t="n">
        <v>10</v>
      </c>
      <c r="G8" s="13" t="n">
        <v>224</v>
      </c>
      <c r="H8" s="13" t="n">
        <v>162</v>
      </c>
      <c r="I8" s="13" t="n">
        <v>37.8</v>
      </c>
      <c r="J8" s="13" t="n">
        <v>35.3</v>
      </c>
      <c r="K8" s="13" t="n">
        <v>22.9</v>
      </c>
      <c r="L8" s="13" t="n">
        <v>20.6</v>
      </c>
      <c r="M8" s="13" t="n">
        <v>0.965</v>
      </c>
      <c r="N8" s="13" t="n">
        <v>9.050000000000001</v>
      </c>
      <c r="O8" s="13" t="n">
        <v>158</v>
      </c>
      <c r="P8" s="13" t="n">
        <v>3.22</v>
      </c>
      <c r="Q8" s="13" t="n">
        <v>2.4</v>
      </c>
      <c r="R8" s="13" t="n">
        <v>2.2</v>
      </c>
      <c r="S8" s="13" t="n">
        <v>3.75</v>
      </c>
      <c r="T8" s="13" t="n">
        <v>0.5</v>
      </c>
      <c r="U8" s="13" t="n">
        <v>0</v>
      </c>
      <c r="V8" s="13" t="n">
        <v>1.5</v>
      </c>
    </row>
    <row r="9">
      <c r="A9" s="7" t="n">
        <v>5</v>
      </c>
      <c r="B9" s="17" t="n">
        <v>11</v>
      </c>
      <c r="C9" s="17" t="n">
        <v>11</v>
      </c>
      <c r="D9" s="17" t="n">
        <v>11</v>
      </c>
      <c r="E9" s="17" t="n">
        <v>11</v>
      </c>
      <c r="F9" s="17" t="n">
        <v>10</v>
      </c>
      <c r="G9" s="13" t="n">
        <v>244</v>
      </c>
      <c r="H9" s="13" t="n">
        <v>166</v>
      </c>
      <c r="I9" s="13" t="n">
        <v>39</v>
      </c>
      <c r="J9" s="13" t="n">
        <v>36.5</v>
      </c>
      <c r="K9" s="13" t="n">
        <v>25</v>
      </c>
      <c r="L9" s="13" t="n">
        <v>21.8</v>
      </c>
      <c r="M9" s="13" t="n">
        <v>0.965</v>
      </c>
      <c r="N9" s="13" t="n">
        <v>9.050000000000001</v>
      </c>
      <c r="O9" s="13" t="n">
        <v>158</v>
      </c>
      <c r="P9" s="13" t="n">
        <v>3.22</v>
      </c>
      <c r="Q9" s="13" t="n">
        <v>2.6</v>
      </c>
      <c r="R9" s="13" t="n">
        <v>2.28</v>
      </c>
      <c r="S9" s="13" t="n">
        <v>3.75</v>
      </c>
      <c r="T9" s="13" t="n">
        <v>0.5</v>
      </c>
      <c r="U9" s="13" t="n">
        <v>0</v>
      </c>
      <c r="V9" s="13" t="n">
        <v>1.5</v>
      </c>
    </row>
    <row r="10">
      <c r="A10" s="7" t="n">
        <v>6</v>
      </c>
      <c r="B10" s="17" t="n">
        <v>11</v>
      </c>
      <c r="C10" s="17" t="n">
        <v>11</v>
      </c>
      <c r="D10" s="17" t="n">
        <v>11</v>
      </c>
      <c r="E10" s="17" t="n">
        <v>11</v>
      </c>
      <c r="F10" s="17" t="n">
        <v>11</v>
      </c>
      <c r="G10" s="13" t="n">
        <v>252</v>
      </c>
      <c r="H10" s="13" t="n">
        <v>169</v>
      </c>
      <c r="I10" s="13" t="n">
        <v>40.2</v>
      </c>
      <c r="J10" s="13" t="n">
        <v>38</v>
      </c>
      <c r="K10" s="13" t="n">
        <v>25.6</v>
      </c>
      <c r="L10" s="13" t="n">
        <v>22.2</v>
      </c>
      <c r="M10" s="13" t="n">
        <v>0.965</v>
      </c>
      <c r="N10" s="13" t="n">
        <v>9.4</v>
      </c>
      <c r="O10" s="13" t="n">
        <v>158.8</v>
      </c>
      <c r="P10" s="13" t="n">
        <v>3.22</v>
      </c>
      <c r="Q10" s="13" t="n">
        <v>2.7</v>
      </c>
      <c r="R10" s="13" t="n">
        <v>2.36</v>
      </c>
      <c r="S10" s="13" t="n">
        <v>3.85</v>
      </c>
      <c r="T10" s="13" t="n">
        <v>0.55</v>
      </c>
      <c r="U10" s="13" t="n">
        <v>0</v>
      </c>
      <c r="V10" s="13" t="n">
        <v>1.5</v>
      </c>
    </row>
    <row r="11">
      <c r="A11" s="7" t="n">
        <v>7</v>
      </c>
      <c r="B11" s="17" t="n">
        <v>12</v>
      </c>
      <c r="C11" s="17" t="n">
        <v>11</v>
      </c>
      <c r="D11" s="17" t="n">
        <v>11</v>
      </c>
      <c r="E11" s="17" t="n">
        <v>11</v>
      </c>
      <c r="F11" s="17" t="n">
        <v>11</v>
      </c>
      <c r="G11" s="13" t="n">
        <v>262</v>
      </c>
      <c r="H11" s="13" t="n">
        <v>172</v>
      </c>
      <c r="I11" s="13" t="n">
        <v>43.6</v>
      </c>
      <c r="J11" s="13" t="n">
        <v>39.2</v>
      </c>
      <c r="K11" s="13" t="n">
        <v>26.7</v>
      </c>
      <c r="L11" s="13" t="n">
        <v>22.6</v>
      </c>
      <c r="M11" s="13" t="n">
        <v>0.965</v>
      </c>
      <c r="N11" s="13" t="n">
        <v>9.4</v>
      </c>
      <c r="O11" s="13" t="n">
        <v>158.8</v>
      </c>
      <c r="P11" s="13" t="n">
        <v>3.22</v>
      </c>
      <c r="Q11" s="13" t="n">
        <v>2.8</v>
      </c>
      <c r="R11" s="13" t="n">
        <v>2.44</v>
      </c>
      <c r="S11" s="13" t="n">
        <v>3.85</v>
      </c>
      <c r="T11" s="13" t="n">
        <v>0.55</v>
      </c>
      <c r="U11" s="13" t="n">
        <v>0</v>
      </c>
      <c r="V11" s="13" t="n">
        <v>1.5</v>
      </c>
    </row>
    <row r="12">
      <c r="A12" s="7" t="n">
        <v>8</v>
      </c>
      <c r="B12" s="17" t="n">
        <v>12</v>
      </c>
      <c r="C12" s="17" t="n">
        <v>12</v>
      </c>
      <c r="D12" s="17" t="n">
        <v>11</v>
      </c>
      <c r="E12" s="17" t="n">
        <v>11</v>
      </c>
      <c r="F12" s="17" t="n">
        <v>11</v>
      </c>
      <c r="G12" s="13" t="n">
        <v>270</v>
      </c>
      <c r="H12" s="13" t="n">
        <v>175</v>
      </c>
      <c r="I12" s="13" t="n">
        <v>45.6</v>
      </c>
      <c r="J12" s="13" t="n">
        <v>40.4</v>
      </c>
      <c r="K12" s="13" t="n">
        <v>27.3</v>
      </c>
      <c r="L12" s="13" t="n">
        <v>23</v>
      </c>
      <c r="M12" s="13" t="n">
        <v>0.98</v>
      </c>
      <c r="N12" s="13" t="n">
        <v>9.449999999999999</v>
      </c>
      <c r="O12" s="13" t="n">
        <v>158.8</v>
      </c>
      <c r="P12" s="13" t="n">
        <v>3.24</v>
      </c>
      <c r="Q12" s="13" t="n">
        <v>2.9</v>
      </c>
      <c r="R12" s="13" t="n">
        <v>2.52</v>
      </c>
      <c r="S12" s="13" t="n">
        <v>4.1</v>
      </c>
      <c r="T12" s="13" t="n">
        <v>0.55</v>
      </c>
      <c r="U12" s="13" t="n">
        <v>0</v>
      </c>
      <c r="V12" s="13" t="n">
        <v>1.5</v>
      </c>
    </row>
    <row r="13">
      <c r="A13" s="7" t="n">
        <v>9</v>
      </c>
      <c r="B13" s="17" t="n">
        <v>12</v>
      </c>
      <c r="C13" s="17" t="n">
        <v>12</v>
      </c>
      <c r="D13" s="17" t="n">
        <v>12</v>
      </c>
      <c r="E13" s="17" t="n">
        <v>11</v>
      </c>
      <c r="F13" s="17" t="n">
        <v>11</v>
      </c>
      <c r="G13" s="13" t="n">
        <v>278</v>
      </c>
      <c r="H13" s="13" t="n">
        <v>188</v>
      </c>
      <c r="I13" s="13" t="n">
        <v>46.8</v>
      </c>
      <c r="J13" s="13" t="n">
        <v>44.1</v>
      </c>
      <c r="K13" s="13" t="n">
        <v>27.9</v>
      </c>
      <c r="L13" s="13" t="n">
        <v>24.4</v>
      </c>
      <c r="M13" s="13" t="n">
        <v>0.98</v>
      </c>
      <c r="N13" s="13" t="n">
        <v>9.449999999999999</v>
      </c>
      <c r="O13" s="13" t="n">
        <v>158.8</v>
      </c>
      <c r="P13" s="13" t="n">
        <v>3.24</v>
      </c>
      <c r="Q13" s="13" t="n">
        <v>3</v>
      </c>
      <c r="R13" s="13" t="n">
        <v>2.68</v>
      </c>
      <c r="S13" s="13" t="n">
        <v>4.1</v>
      </c>
      <c r="T13" s="13" t="n">
        <v>0.55</v>
      </c>
      <c r="U13" s="13" t="n">
        <v>0</v>
      </c>
      <c r="V13" s="13" t="n">
        <v>1.5</v>
      </c>
    </row>
    <row r="14">
      <c r="A14" s="7" t="n">
        <v>10</v>
      </c>
      <c r="B14" s="17" t="n">
        <v>12</v>
      </c>
      <c r="C14" s="17" t="n">
        <v>12</v>
      </c>
      <c r="D14" s="17" t="n">
        <v>12</v>
      </c>
      <c r="E14" s="17" t="n">
        <v>12</v>
      </c>
      <c r="F14" s="17" t="n">
        <v>11</v>
      </c>
      <c r="G14" s="13" t="n">
        <v>298</v>
      </c>
      <c r="H14" s="13" t="n">
        <v>192</v>
      </c>
      <c r="I14" s="13" t="n">
        <v>48</v>
      </c>
      <c r="J14" s="13" t="n">
        <v>45.3</v>
      </c>
      <c r="K14" s="13" t="n">
        <v>30</v>
      </c>
      <c r="L14" s="13" t="n">
        <v>25.6</v>
      </c>
      <c r="M14" s="13" t="n">
        <v>0.98</v>
      </c>
      <c r="N14" s="13" t="n">
        <v>9.449999999999999</v>
      </c>
      <c r="O14" s="13" t="n">
        <v>158.8</v>
      </c>
      <c r="P14" s="13" t="n">
        <v>3.24</v>
      </c>
      <c r="Q14" s="13" t="n">
        <v>3.2</v>
      </c>
      <c r="R14" s="13" t="n">
        <v>2.76</v>
      </c>
      <c r="S14" s="13" t="n">
        <v>4.1</v>
      </c>
      <c r="T14" s="13" t="n">
        <v>0.55</v>
      </c>
      <c r="U14" s="13" t="n">
        <v>0</v>
      </c>
      <c r="V14" s="13" t="n">
        <v>1.5</v>
      </c>
    </row>
    <row r="15">
      <c r="A15" s="7" t="n">
        <v>11</v>
      </c>
      <c r="B15" s="17" t="n">
        <v>12</v>
      </c>
      <c r="C15" s="17" t="n">
        <v>12</v>
      </c>
      <c r="D15" s="17" t="n">
        <v>12</v>
      </c>
      <c r="E15" s="17" t="n">
        <v>12</v>
      </c>
      <c r="F15" s="17" t="n">
        <v>12</v>
      </c>
      <c r="G15" s="13" t="n">
        <v>306</v>
      </c>
      <c r="H15" s="13" t="n">
        <v>195</v>
      </c>
      <c r="I15" s="13" t="n">
        <v>49.2</v>
      </c>
      <c r="J15" s="13" t="n">
        <v>46.8</v>
      </c>
      <c r="K15" s="13" t="n">
        <v>30.6</v>
      </c>
      <c r="L15" s="13" t="n">
        <v>26</v>
      </c>
      <c r="M15" s="13" t="n">
        <v>0.98</v>
      </c>
      <c r="N15" s="13" t="n">
        <v>9.800000000000001</v>
      </c>
      <c r="O15" s="13" t="n">
        <v>159.6</v>
      </c>
      <c r="P15" s="13" t="n">
        <v>3.24</v>
      </c>
      <c r="Q15" s="13" t="n">
        <v>3.3</v>
      </c>
      <c r="R15" s="13" t="n">
        <v>2.84</v>
      </c>
      <c r="S15" s="13" t="n">
        <v>4.2</v>
      </c>
      <c r="T15" s="13" t="n">
        <v>0.6</v>
      </c>
      <c r="U15" s="13" t="n">
        <v>0</v>
      </c>
      <c r="V15" s="13" t="n">
        <v>1.5</v>
      </c>
    </row>
    <row r="16">
      <c r="A16" s="7" t="n">
        <v>12</v>
      </c>
      <c r="B16" s="17" t="n">
        <v>13</v>
      </c>
      <c r="C16" s="17" t="n">
        <v>12</v>
      </c>
      <c r="D16" s="17" t="n">
        <v>12</v>
      </c>
      <c r="E16" s="17" t="n">
        <v>12</v>
      </c>
      <c r="F16" s="17" t="n">
        <v>12</v>
      </c>
      <c r="G16" s="13" t="n">
        <v>316</v>
      </c>
      <c r="H16" s="13" t="n">
        <v>198</v>
      </c>
      <c r="I16" s="13" t="n">
        <v>52.6</v>
      </c>
      <c r="J16" s="13" t="n">
        <v>48</v>
      </c>
      <c r="K16" s="13" t="n">
        <v>31.7</v>
      </c>
      <c r="L16" s="13" t="n">
        <v>26.4</v>
      </c>
      <c r="M16" s="13" t="n">
        <v>0.98</v>
      </c>
      <c r="N16" s="13" t="n">
        <v>9.800000000000001</v>
      </c>
      <c r="O16" s="13" t="n">
        <v>159.6</v>
      </c>
      <c r="P16" s="13" t="n">
        <v>3.24</v>
      </c>
      <c r="Q16" s="13" t="n">
        <v>3.4</v>
      </c>
      <c r="R16" s="13" t="n">
        <v>2.92</v>
      </c>
      <c r="S16" s="13" t="n">
        <v>4.2</v>
      </c>
      <c r="T16" s="13" t="n">
        <v>0.6</v>
      </c>
      <c r="U16" s="13" t="n">
        <v>0</v>
      </c>
      <c r="V16" s="13" t="n">
        <v>1.5</v>
      </c>
    </row>
    <row r="17">
      <c r="A17" s="7" t="n">
        <v>13</v>
      </c>
      <c r="B17" s="17" t="n">
        <v>13</v>
      </c>
      <c r="C17" s="17" t="n">
        <v>13</v>
      </c>
      <c r="D17" s="17" t="n">
        <v>12</v>
      </c>
      <c r="E17" s="17" t="n">
        <v>12</v>
      </c>
      <c r="F17" s="17" t="n">
        <v>12</v>
      </c>
      <c r="G17" s="13" t="n">
        <v>324</v>
      </c>
      <c r="H17" s="13" t="n">
        <v>201</v>
      </c>
      <c r="I17" s="13" t="n">
        <v>54.6</v>
      </c>
      <c r="J17" s="13" t="n">
        <v>49.2</v>
      </c>
      <c r="K17" s="13" t="n">
        <v>32.3</v>
      </c>
      <c r="L17" s="13" t="n">
        <v>26.8</v>
      </c>
      <c r="M17" s="13" t="n">
        <v>0.995</v>
      </c>
      <c r="N17" s="13" t="n">
        <v>9.85</v>
      </c>
      <c r="O17" s="13" t="n">
        <v>159.6</v>
      </c>
      <c r="P17" s="13" t="n">
        <v>3.26</v>
      </c>
      <c r="Q17" s="13" t="n">
        <v>3.5</v>
      </c>
      <c r="R17" s="13" t="n">
        <v>3</v>
      </c>
      <c r="S17" s="13" t="n">
        <v>4.45</v>
      </c>
      <c r="T17" s="13" t="n">
        <v>0.6</v>
      </c>
      <c r="U17" s="13" t="n">
        <v>0</v>
      </c>
      <c r="V17" s="13" t="n">
        <v>1.5</v>
      </c>
    </row>
    <row r="18">
      <c r="A18" s="7" t="n">
        <v>14</v>
      </c>
      <c r="B18" s="17" t="n">
        <v>13</v>
      </c>
      <c r="C18" s="17" t="n">
        <v>13</v>
      </c>
      <c r="D18" s="17" t="n">
        <v>13</v>
      </c>
      <c r="E18" s="17" t="n">
        <v>12</v>
      </c>
      <c r="F18" s="17" t="n">
        <v>12</v>
      </c>
      <c r="G18" s="13" t="n">
        <v>332</v>
      </c>
      <c r="H18" s="13" t="n">
        <v>214</v>
      </c>
      <c r="I18" s="13" t="n">
        <v>55.8</v>
      </c>
      <c r="J18" s="13" t="n">
        <v>52.9</v>
      </c>
      <c r="K18" s="13" t="n">
        <v>32.9</v>
      </c>
      <c r="L18" s="13" t="n">
        <v>28.2</v>
      </c>
      <c r="M18" s="13" t="n">
        <v>0.995</v>
      </c>
      <c r="N18" s="13" t="n">
        <v>9.85</v>
      </c>
      <c r="O18" s="13" t="n">
        <v>159.6</v>
      </c>
      <c r="P18" s="13" t="n">
        <v>3.26</v>
      </c>
      <c r="Q18" s="13" t="n">
        <v>3.6</v>
      </c>
      <c r="R18" s="13" t="n">
        <v>3.16</v>
      </c>
      <c r="S18" s="13" t="n">
        <v>4.45</v>
      </c>
      <c r="T18" s="13" t="n">
        <v>0.6</v>
      </c>
      <c r="U18" s="13" t="n">
        <v>0</v>
      </c>
      <c r="V18" s="13" t="n">
        <v>1.5</v>
      </c>
    </row>
    <row r="19">
      <c r="A19" s="7" t="n">
        <v>15</v>
      </c>
      <c r="B19" s="17" t="n">
        <v>13</v>
      </c>
      <c r="C19" s="17" t="n">
        <v>13</v>
      </c>
      <c r="D19" s="17" t="n">
        <v>13</v>
      </c>
      <c r="E19" s="17" t="n">
        <v>13</v>
      </c>
      <c r="F19" s="17" t="n">
        <v>12</v>
      </c>
      <c r="G19" s="13" t="n">
        <v>352</v>
      </c>
      <c r="H19" s="13" t="n">
        <v>218</v>
      </c>
      <c r="I19" s="13" t="n">
        <v>57</v>
      </c>
      <c r="J19" s="13" t="n">
        <v>54.1</v>
      </c>
      <c r="K19" s="13" t="n">
        <v>35</v>
      </c>
      <c r="L19" s="13" t="n">
        <v>29.4</v>
      </c>
      <c r="M19" s="13" t="n">
        <v>0.995</v>
      </c>
      <c r="N19" s="13" t="n">
        <v>9.85</v>
      </c>
      <c r="O19" s="13" t="n">
        <v>159.6</v>
      </c>
      <c r="P19" s="13" t="n">
        <v>3.26</v>
      </c>
      <c r="Q19" s="13" t="n">
        <v>3.8</v>
      </c>
      <c r="R19" s="13" t="n">
        <v>3.24</v>
      </c>
      <c r="S19" s="13" t="n">
        <v>4.45</v>
      </c>
      <c r="T19" s="13" t="n">
        <v>0.6</v>
      </c>
      <c r="U19" s="13" t="n">
        <v>0</v>
      </c>
      <c r="V19" s="13" t="n">
        <v>1.5</v>
      </c>
    </row>
    <row r="20">
      <c r="A20" s="7" t="n">
        <v>16</v>
      </c>
      <c r="B20" s="17" t="n">
        <v>13</v>
      </c>
      <c r="C20" s="17" t="n">
        <v>13</v>
      </c>
      <c r="D20" s="17" t="n">
        <v>13</v>
      </c>
      <c r="E20" s="17" t="n">
        <v>13</v>
      </c>
      <c r="F20" s="17" t="n">
        <v>13</v>
      </c>
      <c r="G20" s="13" t="n">
        <v>360</v>
      </c>
      <c r="H20" s="13" t="n">
        <v>221</v>
      </c>
      <c r="I20" s="13" t="n">
        <v>58.2</v>
      </c>
      <c r="J20" s="13" t="n">
        <v>55.6</v>
      </c>
      <c r="K20" s="13" t="n">
        <v>35.6</v>
      </c>
      <c r="L20" s="13" t="n">
        <v>29.8</v>
      </c>
      <c r="M20" s="13" t="n">
        <v>0.995</v>
      </c>
      <c r="N20" s="13" t="n">
        <v>10.2</v>
      </c>
      <c r="O20" s="13" t="n">
        <v>160.4</v>
      </c>
      <c r="P20" s="13" t="n">
        <v>3.26</v>
      </c>
      <c r="Q20" s="13" t="n">
        <v>3.9</v>
      </c>
      <c r="R20" s="13" t="n">
        <v>3.32</v>
      </c>
      <c r="S20" s="13" t="n">
        <v>4.55</v>
      </c>
      <c r="T20" s="13" t="n">
        <v>0.65</v>
      </c>
      <c r="U20" s="13" t="n">
        <v>0</v>
      </c>
      <c r="V20" s="13" t="n">
        <v>1.5</v>
      </c>
    </row>
    <row r="21">
      <c r="A21" s="7" t="n">
        <v>17</v>
      </c>
      <c r="B21" s="17" t="n">
        <v>14</v>
      </c>
      <c r="C21" s="17" t="n">
        <v>13</v>
      </c>
      <c r="D21" s="17" t="n">
        <v>13</v>
      </c>
      <c r="E21" s="17" t="n">
        <v>13</v>
      </c>
      <c r="F21" s="17" t="n">
        <v>13</v>
      </c>
      <c r="G21" s="13" t="n">
        <v>370</v>
      </c>
      <c r="H21" s="13" t="n">
        <v>224</v>
      </c>
      <c r="I21" s="13" t="n">
        <v>61.6</v>
      </c>
      <c r="J21" s="13" t="n">
        <v>56.8</v>
      </c>
      <c r="K21" s="13" t="n">
        <v>36.7</v>
      </c>
      <c r="L21" s="13" t="n">
        <v>30.2</v>
      </c>
      <c r="M21" s="13" t="n">
        <v>0.995</v>
      </c>
      <c r="N21" s="13" t="n">
        <v>10.2</v>
      </c>
      <c r="O21" s="13" t="n">
        <v>160.4</v>
      </c>
      <c r="P21" s="13" t="n">
        <v>3.26</v>
      </c>
      <c r="Q21" s="13" t="n">
        <v>4</v>
      </c>
      <c r="R21" s="13" t="n">
        <v>3.4</v>
      </c>
      <c r="S21" s="13" t="n">
        <v>4.55</v>
      </c>
      <c r="T21" s="13" t="n">
        <v>0.65</v>
      </c>
      <c r="U21" s="13" t="n">
        <v>0</v>
      </c>
      <c r="V21" s="13" t="n">
        <v>1.5</v>
      </c>
    </row>
    <row r="22">
      <c r="A22" s="7" t="n">
        <v>18</v>
      </c>
      <c r="B22" s="17" t="n">
        <v>14</v>
      </c>
      <c r="C22" s="17" t="n">
        <v>14</v>
      </c>
      <c r="D22" s="17" t="n">
        <v>13</v>
      </c>
      <c r="E22" s="17" t="n">
        <v>13</v>
      </c>
      <c r="F22" s="17" t="n">
        <v>13</v>
      </c>
      <c r="G22" s="13" t="n">
        <v>378</v>
      </c>
      <c r="H22" s="13" t="n">
        <v>227</v>
      </c>
      <c r="I22" s="13" t="n">
        <v>63.6</v>
      </c>
      <c r="J22" s="13" t="n">
        <v>58</v>
      </c>
      <c r="K22" s="13" t="n">
        <v>37.3</v>
      </c>
      <c r="L22" s="13" t="n">
        <v>30.6</v>
      </c>
      <c r="M22" s="13" t="n">
        <v>1.01</v>
      </c>
      <c r="N22" s="13" t="n">
        <v>10.25</v>
      </c>
      <c r="O22" s="13" t="n">
        <v>160.4</v>
      </c>
      <c r="P22" s="13" t="n">
        <v>3.28</v>
      </c>
      <c r="Q22" s="13" t="n">
        <v>4.1</v>
      </c>
      <c r="R22" s="13" t="n">
        <v>3.48</v>
      </c>
      <c r="S22" s="13" t="n">
        <v>4.8</v>
      </c>
      <c r="T22" s="13" t="n">
        <v>0.65</v>
      </c>
      <c r="U22" s="13" t="n">
        <v>0</v>
      </c>
      <c r="V22" s="13" t="n">
        <v>1.5</v>
      </c>
    </row>
    <row r="23">
      <c r="A23" s="7" t="n">
        <v>19</v>
      </c>
      <c r="B23" s="17" t="n">
        <v>14</v>
      </c>
      <c r="C23" s="17" t="n">
        <v>14</v>
      </c>
      <c r="D23" s="17" t="n">
        <v>14</v>
      </c>
      <c r="E23" s="17" t="n">
        <v>13</v>
      </c>
      <c r="F23" s="17" t="n">
        <v>13</v>
      </c>
      <c r="G23" s="13" t="n">
        <v>386</v>
      </c>
      <c r="H23" s="13" t="n">
        <v>240</v>
      </c>
      <c r="I23" s="13" t="n">
        <v>64.8</v>
      </c>
      <c r="J23" s="13" t="n">
        <v>61.7</v>
      </c>
      <c r="K23" s="13" t="n">
        <v>37.9</v>
      </c>
      <c r="L23" s="13" t="n">
        <v>32</v>
      </c>
      <c r="M23" s="13" t="n">
        <v>1.01</v>
      </c>
      <c r="N23" s="13" t="n">
        <v>10.25</v>
      </c>
      <c r="O23" s="13" t="n">
        <v>160.4</v>
      </c>
      <c r="P23" s="13" t="n">
        <v>3.28</v>
      </c>
      <c r="Q23" s="13" t="n">
        <v>4.2</v>
      </c>
      <c r="R23" s="13" t="n">
        <v>3.64</v>
      </c>
      <c r="S23" s="13" t="n">
        <v>4.8</v>
      </c>
      <c r="T23" s="13" t="n">
        <v>0.65</v>
      </c>
      <c r="U23" s="13" t="n">
        <v>0</v>
      </c>
      <c r="V23" s="13" t="n">
        <v>1.5</v>
      </c>
    </row>
    <row r="24">
      <c r="A24" s="7" t="n">
        <v>20</v>
      </c>
      <c r="B24" s="17" t="n">
        <v>14</v>
      </c>
      <c r="C24" s="17" t="n">
        <v>14</v>
      </c>
      <c r="D24" s="17" t="n">
        <v>14</v>
      </c>
      <c r="E24" s="17" t="n">
        <v>14</v>
      </c>
      <c r="F24" s="17" t="n">
        <v>13</v>
      </c>
      <c r="G24" s="13" t="n">
        <v>406</v>
      </c>
      <c r="H24" s="13" t="n">
        <v>244</v>
      </c>
      <c r="I24" s="13" t="n">
        <v>66</v>
      </c>
      <c r="J24" s="13" t="n">
        <v>62.9</v>
      </c>
      <c r="K24" s="13" t="n">
        <v>40</v>
      </c>
      <c r="L24" s="13" t="n">
        <v>33.2</v>
      </c>
      <c r="M24" s="13" t="n">
        <v>1.01</v>
      </c>
      <c r="N24" s="13" t="n">
        <v>10.25</v>
      </c>
      <c r="O24" s="13" t="n">
        <v>160.4</v>
      </c>
      <c r="P24" s="13" t="n">
        <v>3.28</v>
      </c>
      <c r="Q24" s="13" t="n">
        <v>4.4</v>
      </c>
      <c r="R24" s="13" t="n">
        <v>3.72</v>
      </c>
      <c r="S24" s="13" t="n">
        <v>4.8</v>
      </c>
      <c r="T24" s="13" t="n">
        <v>0.65</v>
      </c>
      <c r="U24" s="13" t="n">
        <v>0</v>
      </c>
      <c r="V24" s="13" t="n">
        <v>1.5</v>
      </c>
    </row>
    <row r="27">
      <c r="A27" s="3" t="inlineStr">
        <is>
          <t>Tăng trưởng Lv1→Lv20</t>
        </is>
      </c>
      <c r="G27" s="18" t="n">
        <v>2.05</v>
      </c>
      <c r="H27" s="18" t="n">
        <v>1.71</v>
      </c>
      <c r="I27" s="18" t="n">
        <v>2.12</v>
      </c>
      <c r="J27" s="18" t="n">
        <v>2.15</v>
      </c>
      <c r="K27" s="18" t="n">
        <v>1.94</v>
      </c>
      <c r="L27" s="18" t="n">
        <v>1.8</v>
      </c>
      <c r="M27" s="19" t="n">
        <v>1.06</v>
      </c>
      <c r="N27" s="19" t="n">
        <v>1.14</v>
      </c>
      <c r="O27" s="19" t="n">
        <v>1.02</v>
      </c>
      <c r="P27" s="19" t="n">
        <v>1.02</v>
      </c>
      <c r="Q27" s="18" t="n">
        <v>2.1</v>
      </c>
      <c r="R27" s="18" t="n">
        <v>1.98</v>
      </c>
      <c r="S27" s="18" t="n">
        <v>1.37</v>
      </c>
      <c r="T27" s="18" t="n">
        <v>1.3</v>
      </c>
      <c r="U27" s="18" t="inlineStr">
        <is>
          <t>n/a</t>
        </is>
      </c>
      <c r="V27" s="19" t="n">
        <v>1</v>
      </c>
    </row>
    <row r="28">
      <c r="A28" s="16" t="inlineStr">
        <is>
          <t>Ô đỏ = stat gần như đứng yên suốt 20 level (tăng &lt;25%) → điểm primary không cảm nhận được ở nhóm %/clamp.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SO SÁNH BUILD — Lv20, 19 điểm phân bổ</t>
        </is>
      </c>
    </row>
    <row r="3">
      <c r="A3" s="6" t="inlineStr">
        <is>
          <t>Build</t>
        </is>
      </c>
      <c r="B3" s="6" t="inlineStr">
        <is>
          <t>STR</t>
        </is>
      </c>
      <c r="C3" s="6" t="inlineStr">
        <is>
          <t>DEX</t>
        </is>
      </c>
      <c r="D3" s="6" t="inlineStr">
        <is>
          <t>INT</t>
        </is>
      </c>
      <c r="E3" s="6" t="inlineStr">
        <is>
          <t>VIT</t>
        </is>
      </c>
      <c r="F3" s="6" t="inlineStr">
        <is>
          <t>LUK</t>
        </is>
      </c>
      <c r="G3" s="6" t="inlineStr">
        <is>
          <t>MaxHP</t>
        </is>
      </c>
      <c r="H3" s="6" t="inlineStr">
        <is>
          <t>MaxMana</t>
        </is>
      </c>
      <c r="I3" s="6" t="inlineStr">
        <is>
          <t>PhysicalDamage</t>
        </is>
      </c>
      <c r="J3" s="6" t="inlineStr">
        <is>
          <t>MagicDamage</t>
        </is>
      </c>
      <c r="K3" s="6" t="inlineStr">
        <is>
          <t>Defense</t>
        </is>
      </c>
      <c r="L3" s="6" t="inlineStr">
        <is>
          <t>MagicDefense</t>
        </is>
      </c>
      <c r="M3" s="6" t="inlineStr">
        <is>
          <t>AttackSpeed</t>
        </is>
      </c>
      <c r="N3" s="6" t="inlineStr">
        <is>
          <t>CritChance</t>
        </is>
      </c>
      <c r="O3" s="6" t="inlineStr">
        <is>
          <t>CritDamage</t>
        </is>
      </c>
      <c r="P3" s="6" t="inlineStr">
        <is>
          <t>MoveSpeed</t>
        </is>
      </c>
      <c r="Q3" s="6" t="inlineStr">
        <is>
          <t>HPRegen</t>
        </is>
      </c>
      <c r="R3" s="6" t="inlineStr">
        <is>
          <t>ManaRegen</t>
        </is>
      </c>
      <c r="S3" s="6" t="inlineStr">
        <is>
          <t>Evasion</t>
        </is>
      </c>
      <c r="T3" s="6" t="inlineStr">
        <is>
          <t>LifeSteal</t>
        </is>
      </c>
      <c r="U3" s="6" t="inlineStr">
        <is>
          <t>CrowdControlResist</t>
        </is>
      </c>
      <c r="V3" s="6" t="inlineStr">
        <is>
          <t>AttackRange</t>
        </is>
      </c>
    </row>
    <row r="4">
      <c r="A4" s="7" t="inlineStr">
        <is>
          <t>Balanced</t>
        </is>
      </c>
      <c r="B4" s="20" t="n">
        <v>14</v>
      </c>
      <c r="C4" s="20" t="n">
        <v>14</v>
      </c>
      <c r="D4" s="20" t="n">
        <v>14</v>
      </c>
      <c r="E4" s="20" t="n">
        <v>14</v>
      </c>
      <c r="F4" s="20" t="n">
        <v>13</v>
      </c>
      <c r="G4" s="13" t="n">
        <v>406</v>
      </c>
      <c r="H4" s="13" t="n">
        <v>244</v>
      </c>
      <c r="I4" s="13" t="n">
        <v>66</v>
      </c>
      <c r="J4" s="13" t="n">
        <v>62.9</v>
      </c>
      <c r="K4" s="13" t="n">
        <v>40</v>
      </c>
      <c r="L4" s="13" t="n">
        <v>33.2</v>
      </c>
      <c r="M4" s="13" t="n">
        <v>1.01</v>
      </c>
      <c r="N4" s="13" t="n">
        <v>10.25</v>
      </c>
      <c r="O4" s="13" t="n">
        <v>160.4</v>
      </c>
      <c r="P4" s="13" t="n">
        <v>3.28</v>
      </c>
      <c r="Q4" s="13" t="n">
        <v>4.4</v>
      </c>
      <c r="R4" s="13" t="n">
        <v>3.72</v>
      </c>
      <c r="S4" s="13" t="n">
        <v>4.8</v>
      </c>
      <c r="T4" s="13" t="n">
        <v>0.65</v>
      </c>
      <c r="U4" s="13" t="n">
        <v>0</v>
      </c>
      <c r="V4" s="13" t="n">
        <v>1.5</v>
      </c>
    </row>
    <row r="5">
      <c r="A5" s="7" t="inlineStr">
        <is>
          <t>All-STR</t>
        </is>
      </c>
      <c r="B5" s="20" t="n">
        <v>29</v>
      </c>
      <c r="C5" s="20" t="n">
        <v>10</v>
      </c>
      <c r="D5" s="20" t="n">
        <v>10</v>
      </c>
      <c r="E5" s="20" t="n">
        <v>10</v>
      </c>
      <c r="F5" s="20" t="n">
        <v>10</v>
      </c>
      <c r="G5" s="13" t="n">
        <v>388</v>
      </c>
      <c r="H5" s="13" t="n">
        <v>200</v>
      </c>
      <c r="I5" s="13" t="n">
        <v>95.8</v>
      </c>
      <c r="J5" s="13" t="n">
        <v>52</v>
      </c>
      <c r="K5" s="13" t="n">
        <v>41.5</v>
      </c>
      <c r="L5" s="13" t="n">
        <v>26</v>
      </c>
      <c r="M5" s="13" t="n">
        <v>0.95</v>
      </c>
      <c r="N5" s="13" t="n">
        <v>9</v>
      </c>
      <c r="O5" s="13" t="n">
        <v>158</v>
      </c>
      <c r="P5" s="13" t="n">
        <v>3.2</v>
      </c>
      <c r="Q5" s="13" t="n">
        <v>4</v>
      </c>
      <c r="R5" s="13" t="n">
        <v>3.4</v>
      </c>
      <c r="S5" s="13" t="n">
        <v>3.5</v>
      </c>
      <c r="T5" s="13" t="n">
        <v>0.5</v>
      </c>
      <c r="U5" s="13" t="n">
        <v>0</v>
      </c>
      <c r="V5" s="13" t="n">
        <v>1.5</v>
      </c>
    </row>
    <row r="6">
      <c r="A6" s="7" t="inlineStr">
        <is>
          <t>All-DEX</t>
        </is>
      </c>
      <c r="B6" s="20" t="n">
        <v>10</v>
      </c>
      <c r="C6" s="20" t="n">
        <v>29</v>
      </c>
      <c r="D6" s="20" t="n">
        <v>10</v>
      </c>
      <c r="E6" s="20" t="n">
        <v>10</v>
      </c>
      <c r="F6" s="20" t="n">
        <v>10</v>
      </c>
      <c r="G6" s="13" t="n">
        <v>350</v>
      </c>
      <c r="H6" s="13" t="n">
        <v>200</v>
      </c>
      <c r="I6" s="13" t="n">
        <v>69.2</v>
      </c>
      <c r="J6" s="13" t="n">
        <v>52</v>
      </c>
      <c r="K6" s="13" t="n">
        <v>32</v>
      </c>
      <c r="L6" s="13" t="n">
        <v>26</v>
      </c>
      <c r="M6" s="13" t="n">
        <v>1.24</v>
      </c>
      <c r="N6" s="13" t="n">
        <v>9.949999999999999</v>
      </c>
      <c r="O6" s="13" t="n">
        <v>158</v>
      </c>
      <c r="P6" s="13" t="n">
        <v>3.58</v>
      </c>
      <c r="Q6" s="13" t="n">
        <v>4</v>
      </c>
      <c r="R6" s="13" t="n">
        <v>3.4</v>
      </c>
      <c r="S6" s="13" t="n">
        <v>8.25</v>
      </c>
      <c r="T6" s="13" t="n">
        <v>0.5</v>
      </c>
      <c r="U6" s="13" t="n">
        <v>0</v>
      </c>
      <c r="V6" s="13" t="n">
        <v>1.5</v>
      </c>
    </row>
    <row r="7">
      <c r="A7" s="7" t="inlineStr">
        <is>
          <t>All-INT</t>
        </is>
      </c>
      <c r="B7" s="20" t="n">
        <v>10</v>
      </c>
      <c r="C7" s="20" t="n">
        <v>10</v>
      </c>
      <c r="D7" s="20" t="n">
        <v>29</v>
      </c>
      <c r="E7" s="20" t="n">
        <v>10</v>
      </c>
      <c r="F7" s="20" t="n">
        <v>10</v>
      </c>
      <c r="G7" s="13" t="n">
        <v>350</v>
      </c>
      <c r="H7" s="13" t="n">
        <v>390</v>
      </c>
      <c r="I7" s="13" t="n">
        <v>54</v>
      </c>
      <c r="J7" s="13" t="n">
        <v>99.5</v>
      </c>
      <c r="K7" s="13" t="n">
        <v>32</v>
      </c>
      <c r="L7" s="13" t="n">
        <v>45</v>
      </c>
      <c r="M7" s="13" t="n">
        <v>0.95</v>
      </c>
      <c r="N7" s="13" t="n">
        <v>9</v>
      </c>
      <c r="O7" s="13" t="n">
        <v>158</v>
      </c>
      <c r="P7" s="13" t="n">
        <v>3.2</v>
      </c>
      <c r="Q7" s="13" t="n">
        <v>4</v>
      </c>
      <c r="R7" s="13" t="n">
        <v>4.92</v>
      </c>
      <c r="S7" s="13" t="n">
        <v>3.5</v>
      </c>
      <c r="T7" s="13" t="n">
        <v>0.5</v>
      </c>
      <c r="U7" s="13" t="n">
        <v>0</v>
      </c>
      <c r="V7" s="13" t="n">
        <v>1.5</v>
      </c>
    </row>
    <row r="8">
      <c r="A8" s="7" t="inlineStr">
        <is>
          <t>All-VIT</t>
        </is>
      </c>
      <c r="B8" s="20" t="n">
        <v>10</v>
      </c>
      <c r="C8" s="20" t="n">
        <v>10</v>
      </c>
      <c r="D8" s="20" t="n">
        <v>10</v>
      </c>
      <c r="E8" s="20" t="n">
        <v>29</v>
      </c>
      <c r="F8" s="20" t="n">
        <v>10</v>
      </c>
      <c r="G8" s="13" t="n">
        <v>578</v>
      </c>
      <c r="H8" s="13" t="n">
        <v>219</v>
      </c>
      <c r="I8" s="13" t="n">
        <v>54</v>
      </c>
      <c r="J8" s="13" t="n">
        <v>52</v>
      </c>
      <c r="K8" s="13" t="n">
        <v>60.5</v>
      </c>
      <c r="L8" s="13" t="n">
        <v>41.2</v>
      </c>
      <c r="M8" s="13" t="n">
        <v>0.95</v>
      </c>
      <c r="N8" s="13" t="n">
        <v>9</v>
      </c>
      <c r="O8" s="13" t="n">
        <v>158</v>
      </c>
      <c r="P8" s="13" t="n">
        <v>3.2</v>
      </c>
      <c r="Q8" s="13" t="n">
        <v>5.9</v>
      </c>
      <c r="R8" s="13" t="n">
        <v>3.4</v>
      </c>
      <c r="S8" s="13" t="n">
        <v>3.5</v>
      </c>
      <c r="T8" s="13" t="n">
        <v>0.5</v>
      </c>
      <c r="U8" s="13" t="n">
        <v>0</v>
      </c>
      <c r="V8" s="13" t="n">
        <v>1.5</v>
      </c>
    </row>
    <row r="9">
      <c r="A9" s="7" t="inlineStr">
        <is>
          <t>All-LUK</t>
        </is>
      </c>
      <c r="B9" s="20" t="n">
        <v>10</v>
      </c>
      <c r="C9" s="20" t="n">
        <v>10</v>
      </c>
      <c r="D9" s="20" t="n">
        <v>10</v>
      </c>
      <c r="E9" s="20" t="n">
        <v>10</v>
      </c>
      <c r="F9" s="20" t="n">
        <v>29</v>
      </c>
      <c r="G9" s="13" t="n">
        <v>350</v>
      </c>
      <c r="H9" s="13" t="n">
        <v>200</v>
      </c>
      <c r="I9" s="13" t="n">
        <v>54</v>
      </c>
      <c r="J9" s="13" t="n">
        <v>57.7</v>
      </c>
      <c r="K9" s="13" t="n">
        <v>32</v>
      </c>
      <c r="L9" s="13" t="n">
        <v>26</v>
      </c>
      <c r="M9" s="13" t="n">
        <v>0.95</v>
      </c>
      <c r="N9" s="13" t="n">
        <v>15.65</v>
      </c>
      <c r="O9" s="13" t="n">
        <v>173.2</v>
      </c>
      <c r="P9" s="13" t="n">
        <v>3.2</v>
      </c>
      <c r="Q9" s="13" t="n">
        <v>4</v>
      </c>
      <c r="R9" s="13" t="n">
        <v>3.4</v>
      </c>
      <c r="S9" s="13" t="n">
        <v>5.4</v>
      </c>
      <c r="T9" s="13" t="n">
        <v>1.45</v>
      </c>
      <c r="U9" s="13" t="n">
        <v>0</v>
      </c>
      <c r="V9" s="1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9" customWidth="1" min="4" max="4"/>
    <col width="14" customWidth="1" min="5" max="5"/>
    <col width="12" customWidth="1" min="6" max="6"/>
    <col width="15" customWidth="1" min="7" max="7"/>
  </cols>
  <sheetData>
    <row r="1">
      <c r="A1" s="1" t="inlineStr">
        <is>
          <t>BÓC TÁCH 4 TẦNG GIÁ TRỊ — đúng như class Stat lưu (Lv10, balanced, có trang bị +5 STR / +3 VIT)</t>
        </is>
      </c>
    </row>
    <row r="2">
      <c r="A2" s="2" t="inlineStr">
        <is>
          <t>BaseValue = hằng số + Σ(primary.BaseValue×coeff)   |   LevelUpValue = Level×perLevel + Σ(primary.LevelUpValue×coeff)   |   EquipByPrimary = Σ(primary.EquipmentValue×coeff)</t>
        </is>
      </c>
    </row>
    <row r="4">
      <c r="A4" s="6" t="inlineStr">
        <is>
          <t>Stat</t>
        </is>
      </c>
      <c r="B4" s="6" t="inlineStr">
        <is>
          <t>BaseValue</t>
        </is>
      </c>
      <c r="C4" s="6" t="inlineStr">
        <is>
          <t>LevelUpValue</t>
        </is>
      </c>
      <c r="D4" s="6" t="inlineStr">
        <is>
          <t>EquipByPrimaryValue</t>
        </is>
      </c>
      <c r="E4" s="6" t="inlineStr">
        <is>
          <t>AdjustedValue</t>
        </is>
      </c>
      <c r="F4" s="6" t="inlineStr">
        <is>
          <t>FinalValue</t>
        </is>
      </c>
      <c r="G4" s="6" t="inlineStr">
        <is>
          <t>Bonus
(Final-Adjusted)</t>
        </is>
      </c>
    </row>
    <row r="5">
      <c r="A5" s="21" t="inlineStr">
        <is>
          <t>STR</t>
        </is>
      </c>
      <c r="B5" s="22" t="n">
        <v>10</v>
      </c>
      <c r="C5" s="22" t="n">
        <v>2</v>
      </c>
      <c r="D5" s="22" t="n">
        <v>5</v>
      </c>
      <c r="E5" s="22" t="n">
        <v>12</v>
      </c>
      <c r="F5" s="22" t="n">
        <v>17</v>
      </c>
      <c r="G5" s="22" t="n">
        <v>5</v>
      </c>
    </row>
    <row r="6">
      <c r="A6" s="21" t="inlineStr">
        <is>
          <t>DEX</t>
        </is>
      </c>
      <c r="B6" s="22" t="n">
        <v>10</v>
      </c>
      <c r="C6" s="22" t="n">
        <v>2</v>
      </c>
      <c r="D6" s="22" t="n">
        <v>0</v>
      </c>
      <c r="E6" s="22" t="n">
        <v>12</v>
      </c>
      <c r="F6" s="22" t="n">
        <v>12</v>
      </c>
      <c r="G6" s="22" t="n">
        <v>0</v>
      </c>
    </row>
    <row r="7">
      <c r="A7" s="21" t="inlineStr">
        <is>
          <t>INT</t>
        </is>
      </c>
      <c r="B7" s="22" t="n">
        <v>10</v>
      </c>
      <c r="C7" s="22" t="n">
        <v>2</v>
      </c>
      <c r="D7" s="22" t="n">
        <v>0</v>
      </c>
      <c r="E7" s="22" t="n">
        <v>12</v>
      </c>
      <c r="F7" s="22" t="n">
        <v>12</v>
      </c>
      <c r="G7" s="22" t="n">
        <v>0</v>
      </c>
    </row>
    <row r="8">
      <c r="A8" s="21" t="inlineStr">
        <is>
          <t>VIT</t>
        </is>
      </c>
      <c r="B8" s="22" t="n">
        <v>10</v>
      </c>
      <c r="C8" s="22" t="n">
        <v>2</v>
      </c>
      <c r="D8" s="22" t="n">
        <v>3</v>
      </c>
      <c r="E8" s="22" t="n">
        <v>12</v>
      </c>
      <c r="F8" s="22" t="n">
        <v>15</v>
      </c>
      <c r="G8" s="22" t="n">
        <v>3</v>
      </c>
    </row>
    <row r="9">
      <c r="A9" s="21" t="inlineStr">
        <is>
          <t>LUK</t>
        </is>
      </c>
      <c r="B9" s="22" t="n">
        <v>10</v>
      </c>
      <c r="C9" s="22" t="n">
        <v>1</v>
      </c>
      <c r="D9" s="22" t="n">
        <v>0</v>
      </c>
      <c r="E9" s="22" t="n">
        <v>11</v>
      </c>
      <c r="F9" s="22" t="n">
        <v>11</v>
      </c>
      <c r="G9" s="22" t="n">
        <v>0</v>
      </c>
    </row>
    <row r="10">
      <c r="A10" s="7" t="inlineStr">
        <is>
          <t>MaxHP</t>
        </is>
      </c>
      <c r="B10" s="13" t="n">
        <v>190</v>
      </c>
      <c r="C10" s="13" t="n">
        <v>108</v>
      </c>
      <c r="D10" s="13" t="n">
        <v>46</v>
      </c>
      <c r="E10" s="13" t="n">
        <v>298</v>
      </c>
      <c r="F10" s="13" t="n">
        <v>344</v>
      </c>
      <c r="G10" s="13" t="n">
        <v>46</v>
      </c>
    </row>
    <row r="11">
      <c r="A11" s="7" t="inlineStr">
        <is>
          <t>MaxMana</t>
        </is>
      </c>
      <c r="B11" s="13" t="n">
        <v>140</v>
      </c>
      <c r="C11" s="13" t="n">
        <v>52</v>
      </c>
      <c r="D11" s="13" t="n">
        <v>3</v>
      </c>
      <c r="E11" s="13" t="n">
        <v>192</v>
      </c>
      <c r="F11" s="13" t="n">
        <v>195</v>
      </c>
      <c r="G11" s="13" t="n">
        <v>3</v>
      </c>
    </row>
    <row r="12">
      <c r="A12" s="7" t="inlineStr">
        <is>
          <t>PhysicalDamage</t>
        </is>
      </c>
      <c r="B12" s="13" t="n">
        <v>30</v>
      </c>
      <c r="C12" s="13" t="n">
        <v>18</v>
      </c>
      <c r="D12" s="13" t="n">
        <v>11</v>
      </c>
      <c r="E12" s="13" t="n">
        <v>48</v>
      </c>
      <c r="F12" s="13" t="n">
        <v>59</v>
      </c>
      <c r="G12" s="13" t="n">
        <v>11</v>
      </c>
    </row>
    <row r="13">
      <c r="A13" s="7" t="inlineStr">
        <is>
          <t>MagicDamage</t>
        </is>
      </c>
      <c r="B13" s="13" t="n">
        <v>28</v>
      </c>
      <c r="C13" s="13" t="n">
        <v>17.3</v>
      </c>
      <c r="D13" s="13" t="n">
        <v>0</v>
      </c>
      <c r="E13" s="13" t="n">
        <v>45.3</v>
      </c>
      <c r="F13" s="13" t="n">
        <v>45.3</v>
      </c>
      <c r="G13" s="13" t="n">
        <v>0</v>
      </c>
    </row>
    <row r="14">
      <c r="A14" s="7" t="inlineStr">
        <is>
          <t>Defense</t>
        </is>
      </c>
      <c r="B14" s="13" t="n">
        <v>20</v>
      </c>
      <c r="C14" s="13" t="n">
        <v>10</v>
      </c>
      <c r="D14" s="13" t="n">
        <v>7</v>
      </c>
      <c r="E14" s="13" t="n">
        <v>30</v>
      </c>
      <c r="F14" s="13" t="n">
        <v>37</v>
      </c>
      <c r="G14" s="13" t="n">
        <v>7</v>
      </c>
    </row>
    <row r="15">
      <c r="A15" s="7" t="inlineStr">
        <is>
          <t>MagicDefense</t>
        </is>
      </c>
      <c r="B15" s="13" t="n">
        <v>18</v>
      </c>
      <c r="C15" s="13" t="n">
        <v>7.6</v>
      </c>
      <c r="D15" s="13" t="n">
        <v>2.4</v>
      </c>
      <c r="E15" s="13" t="n">
        <v>25.6</v>
      </c>
      <c r="F15" s="13" t="n">
        <v>28</v>
      </c>
      <c r="G15" s="13" t="n">
        <v>2.4</v>
      </c>
    </row>
    <row r="16">
      <c r="A16" s="7" t="inlineStr">
        <is>
          <t>AttackSpeed</t>
        </is>
      </c>
      <c r="B16" s="13" t="n">
        <v>0.95</v>
      </c>
      <c r="C16" s="13" t="n">
        <v>0.03</v>
      </c>
      <c r="D16" s="13" t="n">
        <v>0</v>
      </c>
      <c r="E16" s="13" t="n">
        <v>0.98</v>
      </c>
      <c r="F16" s="13" t="n">
        <v>0.98</v>
      </c>
      <c r="G16" s="13" t="n">
        <v>0</v>
      </c>
    </row>
    <row r="17">
      <c r="A17" s="7" t="inlineStr">
        <is>
          <t>CritChance</t>
        </is>
      </c>
      <c r="B17" s="13" t="n">
        <v>9</v>
      </c>
      <c r="C17" s="13" t="n">
        <v>0.45</v>
      </c>
      <c r="D17" s="13" t="n">
        <v>0</v>
      </c>
      <c r="E17" s="13" t="n">
        <v>9.449999999999999</v>
      </c>
      <c r="F17" s="13" t="n">
        <v>9.449999999999999</v>
      </c>
      <c r="G17" s="13" t="n">
        <v>0</v>
      </c>
    </row>
    <row r="18">
      <c r="A18" s="7" t="inlineStr">
        <is>
          <t>CritDamage</t>
        </is>
      </c>
      <c r="B18" s="13" t="n">
        <v>158</v>
      </c>
      <c r="C18" s="13" t="n">
        <v>0.8</v>
      </c>
      <c r="D18" s="13" t="n">
        <v>0</v>
      </c>
      <c r="E18" s="13" t="n">
        <v>158.8</v>
      </c>
      <c r="F18" s="13" t="n">
        <v>158.8</v>
      </c>
      <c r="G18" s="13" t="n">
        <v>0</v>
      </c>
    </row>
    <row r="19">
      <c r="A19" s="7" t="inlineStr">
        <is>
          <t>MoveSpeed</t>
        </is>
      </c>
      <c r="B19" s="13" t="n">
        <v>3.2</v>
      </c>
      <c r="C19" s="13" t="n">
        <v>0.04</v>
      </c>
      <c r="D19" s="13" t="n">
        <v>0</v>
      </c>
      <c r="E19" s="13" t="n">
        <v>3.24</v>
      </c>
      <c r="F19" s="13" t="n">
        <v>3.24</v>
      </c>
      <c r="G19" s="13" t="n">
        <v>0</v>
      </c>
    </row>
    <row r="20">
      <c r="A20" s="7" t="inlineStr">
        <is>
          <t>HPRegen</t>
        </is>
      </c>
      <c r="B20" s="13" t="n">
        <v>2</v>
      </c>
      <c r="C20" s="13" t="n">
        <v>1.2</v>
      </c>
      <c r="D20" s="13" t="n">
        <v>0.3</v>
      </c>
      <c r="E20" s="13" t="n">
        <v>3.2</v>
      </c>
      <c r="F20" s="13" t="n">
        <v>3.5</v>
      </c>
      <c r="G20" s="13" t="n">
        <v>0.3</v>
      </c>
    </row>
    <row r="21">
      <c r="A21" s="7" t="inlineStr">
        <is>
          <t>ManaRegen</t>
        </is>
      </c>
      <c r="B21" s="13" t="n">
        <v>1.8</v>
      </c>
      <c r="C21" s="13" t="n">
        <v>0.96</v>
      </c>
      <c r="D21" s="13" t="n">
        <v>0</v>
      </c>
      <c r="E21" s="13" t="n">
        <v>2.76</v>
      </c>
      <c r="F21" s="13" t="n">
        <v>2.76</v>
      </c>
      <c r="G21" s="13" t="n">
        <v>0</v>
      </c>
    </row>
    <row r="22">
      <c r="A22" s="7" t="inlineStr">
        <is>
          <t>Evasion</t>
        </is>
      </c>
      <c r="B22" s="13" t="n">
        <v>3.5</v>
      </c>
      <c r="C22" s="13" t="n">
        <v>0.6</v>
      </c>
      <c r="D22" s="13" t="n">
        <v>0</v>
      </c>
      <c r="E22" s="13" t="n">
        <v>4.1</v>
      </c>
      <c r="F22" s="13" t="n">
        <v>4.1</v>
      </c>
      <c r="G22" s="13" t="n">
        <v>0</v>
      </c>
    </row>
    <row r="23">
      <c r="A23" s="7" t="inlineStr">
        <is>
          <t>LifeSteal</t>
        </is>
      </c>
      <c r="B23" s="13" t="n">
        <v>0.5</v>
      </c>
      <c r="C23" s="13" t="n">
        <v>0.05</v>
      </c>
      <c r="D23" s="13" t="n">
        <v>0</v>
      </c>
      <c r="E23" s="13" t="n">
        <v>0.55</v>
      </c>
      <c r="F23" s="13" t="n">
        <v>0.55</v>
      </c>
      <c r="G23" s="13" t="n">
        <v>0</v>
      </c>
    </row>
    <row r="24">
      <c r="A24" s="7" t="inlineStr">
        <is>
          <t>CrowdControlResist</t>
        </is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</row>
    <row r="25">
      <c r="A25" s="7" t="inlineStr">
        <is>
          <t>AttackRange</t>
        </is>
      </c>
      <c r="B25" s="13" t="n">
        <v>1.5</v>
      </c>
      <c r="C25" s="13" t="n">
        <v>0</v>
      </c>
      <c r="D25" s="13" t="n">
        <v>0</v>
      </c>
      <c r="E25" s="13" t="n">
        <v>1.5</v>
      </c>
      <c r="F25" s="13" t="n">
        <v>1.5</v>
      </c>
      <c r="G25" s="13" t="n">
        <v>0</v>
      </c>
    </row>
    <row r="27">
      <c r="A27" s="5" t="inlineStr">
        <is>
          <t>Vàng = primary.  Trang bị chỉ cắm modifier lên PRIMARY; derived tự hưởng lây qua EquipByPrimaryValue — không cần modifier riêng cho từng derived.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KIỂM TRA CÂN BẰNG — TTK giả định finalDamage = damage − defense (mô hình PLANNED trong character-system.md)</t>
        </is>
      </c>
    </row>
    <row r="2">
      <c r="A2" s="2" t="inlineStr">
        <is>
          <t>TTK đã tính trung bình crit: dmg_eff = (dmg − def) × (1 + CritChance × (CritDamage − 1)).  'never' = sát thương ròng ≤ 0.</t>
        </is>
      </c>
    </row>
    <row r="4">
      <c r="A4" s="6" t="inlineStr">
        <is>
          <t>Lv</t>
        </is>
      </c>
      <c r="B4" s="6" t="inlineStr">
        <is>
          <t>Player HP</t>
        </is>
      </c>
      <c r="C4" s="6" t="inlineStr">
        <is>
          <t>Player Dmg</t>
        </is>
      </c>
      <c r="D4" s="6" t="inlineStr">
        <is>
          <t>Player Def</t>
        </is>
      </c>
      <c r="E4" s="6" t="inlineStr">
        <is>
          <t>Player MDef</t>
        </is>
      </c>
      <c r="F4" s="6" t="inlineStr">
        <is>
          <t>P kill Trash</t>
        </is>
      </c>
      <c r="G4" s="6" t="inlineStr">
        <is>
          <t>P kill Swarm</t>
        </is>
      </c>
      <c r="H4" s="6" t="inlineStr">
        <is>
          <t>P kill Assassin</t>
        </is>
      </c>
      <c r="I4" s="6" t="inlineStr">
        <is>
          <t>P kill Tank</t>
        </is>
      </c>
      <c r="J4" s="6" t="inlineStr">
        <is>
          <t>P kill Boss</t>
        </is>
      </c>
      <c r="K4" s="6" t="inlineStr">
        <is>
          <t>Trash kill P</t>
        </is>
      </c>
      <c r="L4" s="6" t="inlineStr">
        <is>
          <t>Caster kill P</t>
        </is>
      </c>
      <c r="M4" s="6" t="inlineStr">
        <is>
          <t>Assassin kill P</t>
        </is>
      </c>
      <c r="N4" s="6" t="inlineStr">
        <is>
          <t>Boss kill P</t>
        </is>
      </c>
    </row>
    <row r="5">
      <c r="A5" s="7" t="n">
        <v>1</v>
      </c>
      <c r="B5" s="23" t="n">
        <v>198</v>
      </c>
      <c r="C5" s="23" t="n">
        <v>31.2</v>
      </c>
      <c r="D5" s="23" t="n">
        <v>20.6</v>
      </c>
      <c r="E5" s="23" t="n">
        <v>18.4</v>
      </c>
      <c r="F5" s="24" t="n">
        <v>7.5</v>
      </c>
      <c r="G5" s="24" t="n">
        <v>1.6</v>
      </c>
      <c r="H5" s="24" t="n">
        <v>2.3</v>
      </c>
      <c r="I5" s="25" t="inlineStr">
        <is>
          <t>never</t>
        </is>
      </c>
      <c r="J5" s="25" t="inlineStr">
        <is>
          <t>never</t>
        </is>
      </c>
      <c r="K5" s="26" t="n">
        <v>35.3</v>
      </c>
      <c r="L5" s="24" t="n">
        <v>8.699999999999999</v>
      </c>
      <c r="M5" s="24" t="n">
        <v>9.4</v>
      </c>
      <c r="N5" s="24" t="n">
        <v>2.2</v>
      </c>
    </row>
    <row r="6">
      <c r="A6" s="7" t="n">
        <v>2</v>
      </c>
      <c r="B6" s="23" t="n">
        <v>208</v>
      </c>
      <c r="C6" s="23" t="n">
        <v>34.6</v>
      </c>
      <c r="D6" s="23" t="n">
        <v>21.7</v>
      </c>
      <c r="E6" s="23" t="n">
        <v>18.8</v>
      </c>
      <c r="F6" s="24" t="n">
        <v>6.8</v>
      </c>
      <c r="G6" s="24" t="n">
        <v>1.5</v>
      </c>
      <c r="H6" s="24" t="n">
        <v>2.2</v>
      </c>
      <c r="I6" s="25" t="inlineStr">
        <is>
          <t>never</t>
        </is>
      </c>
      <c r="J6" s="25" t="inlineStr">
        <is>
          <t>never</t>
        </is>
      </c>
      <c r="K6" s="26" t="n">
        <v>37.6</v>
      </c>
      <c r="L6" s="24" t="n">
        <v>8.9</v>
      </c>
      <c r="M6" s="24" t="n">
        <v>9.800000000000001</v>
      </c>
      <c r="N6" s="24" t="n">
        <v>2.3</v>
      </c>
    </row>
    <row r="7">
      <c r="A7" s="7" t="n">
        <v>3</v>
      </c>
      <c r="B7" s="23" t="n">
        <v>216</v>
      </c>
      <c r="C7" s="23" t="n">
        <v>36.6</v>
      </c>
      <c r="D7" s="23" t="n">
        <v>22.3</v>
      </c>
      <c r="E7" s="23" t="n">
        <v>19.2</v>
      </c>
      <c r="F7" s="24" t="n">
        <v>6.5</v>
      </c>
      <c r="G7" s="26" t="n">
        <v>1.5</v>
      </c>
      <c r="H7" s="24" t="n">
        <v>2.1</v>
      </c>
      <c r="I7" s="25" t="inlineStr">
        <is>
          <t>never</t>
        </is>
      </c>
      <c r="J7" s="25" t="inlineStr">
        <is>
          <t>never</t>
        </is>
      </c>
      <c r="K7" s="26" t="n">
        <v>36.7</v>
      </c>
      <c r="L7" s="24" t="n">
        <v>9</v>
      </c>
      <c r="M7" s="24" t="n">
        <v>9.699999999999999</v>
      </c>
      <c r="N7" s="24" t="n">
        <v>2.3</v>
      </c>
    </row>
    <row r="8">
      <c r="A8" s="7" t="n">
        <v>5</v>
      </c>
      <c r="B8" s="23" t="n">
        <v>244</v>
      </c>
      <c r="C8" s="23" t="n">
        <v>39</v>
      </c>
      <c r="D8" s="23" t="n">
        <v>25</v>
      </c>
      <c r="E8" s="23" t="n">
        <v>21.8</v>
      </c>
      <c r="F8" s="24" t="n">
        <v>6.5</v>
      </c>
      <c r="G8" s="24" t="n">
        <v>1.5</v>
      </c>
      <c r="H8" s="24" t="n">
        <v>2.2</v>
      </c>
      <c r="I8" s="25" t="inlineStr">
        <is>
          <t>never</t>
        </is>
      </c>
      <c r="J8" s="25" t="inlineStr">
        <is>
          <t>never</t>
        </is>
      </c>
      <c r="K8" s="26" t="n">
        <v>46.4</v>
      </c>
      <c r="L8" s="24" t="n">
        <v>10.1</v>
      </c>
      <c r="M8" s="24" t="n">
        <v>11</v>
      </c>
      <c r="N8" s="24" t="n">
        <v>2.6</v>
      </c>
    </row>
    <row r="9">
      <c r="A9" s="7" t="n">
        <v>8</v>
      </c>
      <c r="B9" s="23" t="n">
        <v>270</v>
      </c>
      <c r="C9" s="23" t="n">
        <v>45.6</v>
      </c>
      <c r="D9" s="23" t="n">
        <v>27.3</v>
      </c>
      <c r="E9" s="23" t="n">
        <v>23</v>
      </c>
      <c r="F9" s="24" t="n">
        <v>5.9</v>
      </c>
      <c r="G9" s="26" t="n">
        <v>1.5</v>
      </c>
      <c r="H9" s="24" t="n">
        <v>2.1</v>
      </c>
      <c r="I9" s="25" t="inlineStr">
        <is>
          <t>never</t>
        </is>
      </c>
      <c r="J9" s="25" t="inlineStr">
        <is>
          <t>never</t>
        </is>
      </c>
      <c r="K9" s="26" t="n">
        <v>45.9</v>
      </c>
      <c r="L9" s="24" t="n">
        <v>10.4</v>
      </c>
      <c r="M9" s="24" t="n">
        <v>11</v>
      </c>
      <c r="N9" s="24" t="n">
        <v>2.7</v>
      </c>
    </row>
    <row r="10">
      <c r="A10" s="7" t="n">
        <v>10</v>
      </c>
      <c r="B10" s="23" t="n">
        <v>298</v>
      </c>
      <c r="C10" s="23" t="n">
        <v>48</v>
      </c>
      <c r="D10" s="23" t="n">
        <v>30</v>
      </c>
      <c r="E10" s="23" t="n">
        <v>25.6</v>
      </c>
      <c r="F10" s="24" t="n">
        <v>5.9</v>
      </c>
      <c r="G10" s="24" t="n">
        <v>1.5</v>
      </c>
      <c r="H10" s="24" t="n">
        <v>2.2</v>
      </c>
      <c r="I10" s="25" t="inlineStr">
        <is>
          <t>never</t>
        </is>
      </c>
      <c r="J10" s="25" t="inlineStr">
        <is>
          <t>never</t>
        </is>
      </c>
      <c r="K10" s="26" t="n">
        <v>56.7</v>
      </c>
      <c r="L10" s="24" t="n">
        <v>11.3</v>
      </c>
      <c r="M10" s="24" t="n">
        <v>12.2</v>
      </c>
      <c r="N10" s="24" t="n">
        <v>3</v>
      </c>
    </row>
    <row r="11">
      <c r="A11" s="7" t="n">
        <v>12</v>
      </c>
      <c r="B11" s="23" t="n">
        <v>316</v>
      </c>
      <c r="C11" s="23" t="n">
        <v>52.6</v>
      </c>
      <c r="D11" s="23" t="n">
        <v>31.7</v>
      </c>
      <c r="E11" s="23" t="n">
        <v>26.4</v>
      </c>
      <c r="F11" s="24" t="n">
        <v>5.6</v>
      </c>
      <c r="G11" s="26" t="n">
        <v>1.5</v>
      </c>
      <c r="H11" s="24" t="n">
        <v>2.1</v>
      </c>
      <c r="I11" s="25" t="inlineStr">
        <is>
          <t>never</t>
        </is>
      </c>
      <c r="J11" s="25" t="inlineStr">
        <is>
          <t>never</t>
        </is>
      </c>
      <c r="K11" s="26" t="n">
        <v>57.2</v>
      </c>
      <c r="L11" s="24" t="n">
        <v>11.5</v>
      </c>
      <c r="M11" s="24" t="n">
        <v>12.3</v>
      </c>
      <c r="N11" s="24" t="n">
        <v>3</v>
      </c>
    </row>
    <row r="12">
      <c r="A12" s="7" t="n">
        <v>15</v>
      </c>
      <c r="B12" s="23" t="n">
        <v>352</v>
      </c>
      <c r="C12" s="23" t="n">
        <v>57</v>
      </c>
      <c r="D12" s="23" t="n">
        <v>35</v>
      </c>
      <c r="E12" s="23" t="n">
        <v>29.4</v>
      </c>
      <c r="F12" s="24" t="n">
        <v>5.5</v>
      </c>
      <c r="G12" s="26" t="n">
        <v>1.5</v>
      </c>
      <c r="H12" s="24" t="n">
        <v>2.1</v>
      </c>
      <c r="I12" s="25" t="inlineStr">
        <is>
          <t>never</t>
        </is>
      </c>
      <c r="J12" s="25" t="inlineStr">
        <is>
          <t>never</t>
        </is>
      </c>
      <c r="K12" s="26" t="n">
        <v>67</v>
      </c>
      <c r="L12" s="24" t="n">
        <v>12.4</v>
      </c>
      <c r="M12" s="24" t="n">
        <v>13.2</v>
      </c>
      <c r="N12" s="24" t="n">
        <v>3.3</v>
      </c>
    </row>
    <row r="13">
      <c r="A13" s="7" t="n">
        <v>18</v>
      </c>
      <c r="B13" s="23" t="n">
        <v>378</v>
      </c>
      <c r="C13" s="23" t="n">
        <v>63.6</v>
      </c>
      <c r="D13" s="23" t="n">
        <v>37.3</v>
      </c>
      <c r="E13" s="23" t="n">
        <v>30.6</v>
      </c>
      <c r="F13" s="24" t="n">
        <v>5.1</v>
      </c>
      <c r="G13" s="26" t="n">
        <v>1.4</v>
      </c>
      <c r="H13" s="24" t="n">
        <v>2</v>
      </c>
      <c r="I13" s="26" t="n">
        <v>199.9</v>
      </c>
      <c r="J13" s="25" t="inlineStr">
        <is>
          <t>never</t>
        </is>
      </c>
      <c r="K13" s="26" t="n">
        <v>64.2</v>
      </c>
      <c r="L13" s="24" t="n">
        <v>12.5</v>
      </c>
      <c r="M13" s="24" t="n">
        <v>13.1</v>
      </c>
      <c r="N13" s="24" t="n">
        <v>3.4</v>
      </c>
    </row>
    <row r="14">
      <c r="A14" s="7" t="n">
        <v>20</v>
      </c>
      <c r="B14" s="23" t="n">
        <v>406</v>
      </c>
      <c r="C14" s="23" t="n">
        <v>66</v>
      </c>
      <c r="D14" s="23" t="n">
        <v>40</v>
      </c>
      <c r="E14" s="23" t="n">
        <v>33.2</v>
      </c>
      <c r="F14" s="24" t="n">
        <v>5.2</v>
      </c>
      <c r="G14" s="26" t="n">
        <v>1.5</v>
      </c>
      <c r="H14" s="24" t="n">
        <v>2.1</v>
      </c>
      <c r="I14" s="26" t="n">
        <v>183.9</v>
      </c>
      <c r="J14" s="25" t="inlineStr">
        <is>
          <t>never</t>
        </is>
      </c>
      <c r="K14" s="26" t="n">
        <v>77.3</v>
      </c>
      <c r="L14" s="24" t="n">
        <v>13.3</v>
      </c>
      <c r="M14" s="24" t="n">
        <v>14.1</v>
      </c>
      <c r="N14" s="24" t="n">
        <v>3.5</v>
      </c>
    </row>
    <row r="17">
      <c r="A17" s="2" t="inlineStr">
        <is>
          <t>Xanh = TTK nằm trong khoảng chấp nhận được cho action roguelike (1.5s–25s). Đỏ = ngoài khoảng, hoặc bất khả thi.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6" customWidth="1" min="4" max="4"/>
    <col width="62" customWidth="1" min="5" max="5"/>
    <col width="56" customWidth="1" min="6" max="6"/>
  </cols>
  <sheetData>
    <row r="1">
      <c r="A1" s="1" t="inlineStr">
        <is>
          <t>KẾT LUẬN KIỂM TRA TÍNH HỢP LÝ</t>
        </is>
      </c>
    </row>
    <row r="3">
      <c r="A3" s="6" t="inlineStr">
        <is>
          <t>#</t>
        </is>
      </c>
      <c r="B3" s="6" t="inlineStr">
        <is>
          <t>Mức độ</t>
        </is>
      </c>
      <c r="C3" s="6" t="inlineStr">
        <is>
          <t>Nơi</t>
        </is>
      </c>
      <c r="D3" s="6" t="inlineStr">
        <is>
          <t>Vấn đề</t>
        </is>
      </c>
      <c r="E3" s="6" t="inlineStr">
        <is>
          <t>Bằng chứng (số)</t>
        </is>
      </c>
      <c r="F3" s="6" t="inlineStr">
        <is>
          <t>Đề xuất</t>
        </is>
      </c>
    </row>
    <row r="4" ht="58" customHeight="1">
      <c r="A4" s="27" t="inlineStr">
        <is>
          <t>B1</t>
        </is>
      </c>
      <c r="B4" s="28" t="inlineStr">
        <is>
          <t>BLOCKER</t>
        </is>
      </c>
      <c r="C4" s="27" t="inlineStr">
        <is>
          <t>Balance</t>
        </is>
      </c>
      <c r="D4" s="27" t="inlineStr">
        <is>
          <t>Trừ thẳng defense làm sập đối đầu ở hai đầu bảng</t>
        </is>
      </c>
      <c r="E4" s="27" t="inlineStr">
        <is>
          <t>Lv20 Player PhysDmg 66 vs Boss Def 102.5 → 0 sát thương; build all-STR (STR 29) vẫn chỉ 95.8 &lt; 102.5. Ngược lại Swarm/Tank đánh Player ra số âm ở MỌI level.</t>
        </is>
      </c>
      <c r="F4" s="27" t="inlineStr">
        <is>
          <t>Đổi sang giảm trừ theo tỉ lệ: mitigation = Def/(Def+K), K≈100+10×Level. Không bao giờ ra 0 hay âm.</t>
        </is>
      </c>
    </row>
    <row r="5" ht="58" customHeight="1">
      <c r="A5" s="27" t="inlineStr">
        <is>
          <t>B2</t>
        </is>
      </c>
      <c r="B5" s="28" t="inlineStr">
        <is>
          <t>BLOCKER</t>
        </is>
      </c>
      <c r="C5" s="27" t="inlineStr">
        <is>
          <t>Code — StatsSO.cs:272</t>
        </is>
      </c>
      <c r="D5" s="27" t="inlineStr">
        <is>
          <t>Điều kiện bỏ qua recalc dùng || thay vì &amp;&amp; → derived stat không bao giờ cập nhật khi isDevMode=false</t>
        </is>
      </c>
      <c r="E5" s="27" t="inlineStr">
        <is>
          <t>EquipmentValue của derived = 0 khi chưa có trang bị → Mathf.Approximately(0,0)=true → toàn bộ if ngắn mạch true → continue. Lên level không đổi số.</t>
        </is>
      </c>
      <c r="F5" s="27" t="inlineStr">
        <is>
          <t>Đổi 4 toán tử || thành &amp;&amp; (chỉ bỏ qua khi CẢ BỐN tầng đều không đổi).</t>
        </is>
      </c>
    </row>
    <row r="6" ht="58" customHeight="1">
      <c r="A6" s="27" t="inlineStr">
        <is>
          <t>B3</t>
        </is>
      </c>
      <c r="B6" s="28" t="inlineStr">
        <is>
          <t>HIGH</t>
        </is>
      </c>
      <c r="C6" s="27" t="inlineStr">
        <is>
          <t>Code — Stat.cs:198</t>
        </is>
      </c>
      <c r="D6" s="27" t="inlineStr">
        <is>
          <t>FinalValue bỏ mất equipment khi stat có modifier</t>
        </is>
      </c>
      <c r="E6" s="27" t="inlineStr">
        <is>
          <t>Nhánh không-modifier: return finalValue + equipmentValue. Nhánh có-modifier: finalValue = base+levelUp rồi áp modifier, KHÔNG cộng equipmentByPrimaryValue.</t>
        </is>
      </c>
      <c r="F6" s="27" t="inlineStr">
        <is>
          <t>Khởi tạo finalValue = baseValue + levelUpValue + equipmentByPrimaryValue ở cả hai nhánh, đúng như doc-comment của class.</t>
        </is>
      </c>
    </row>
    <row r="7" ht="58" customHeight="1">
      <c r="A7" s="27" t="inlineStr">
        <is>
          <t>B4</t>
        </is>
      </c>
      <c r="B7" s="28" t="inlineStr">
        <is>
          <t>HIGH</t>
        </is>
      </c>
      <c r="C7" s="27" t="inlineStr">
        <is>
          <t>Code — Stat.cs:52</t>
        </is>
      </c>
      <c r="D7" s="27" t="inlineStr">
        <is>
          <t>modifiers đang [SerializeField] trong khi comment ngay trên nói BẮT BUỘC [NonSerialized]</t>
        </is>
      </c>
      <c r="E7" s="27" t="inlineStr">
        <is>
          <t>Buff runtime sẽ ghi thẳng vào .asset và sống dai qua các phiên Play Mode; OnEnable ClearModifiers chỉ che triệu chứng.</t>
        </is>
      </c>
      <c r="F7" s="27" t="inlineStr">
        <is>
          <t>Trả field về [NonSerialized] đúng như CLAUDE.md và doc-comment mô tả.</t>
        </is>
      </c>
    </row>
    <row r="8" ht="58" customHeight="1">
      <c r="A8" s="27" t="inlineStr">
        <is>
          <t>B5</t>
        </is>
      </c>
      <c r="B8" s="28" t="inlineStr">
        <is>
          <t>HIGH</t>
        </is>
      </c>
      <c r="C8" s="27" t="inlineStr">
        <is>
          <t>Code — StatType.cs</t>
        </is>
      </c>
      <c r="D8" s="27" t="inlineStr">
        <is>
          <t>Enum thiếu 4/16 stat mà bảng công thức định nghĩa</t>
        </is>
      </c>
      <c r="E8" s="27" t="inlineStr">
        <is>
          <t>Có: 12 derived. Thiếu: MagicDefense, LifeSteal, CrowdControlResist, AttackRange — trong đó MagicDefense là trụ phòng thủ phép của cả 7 entity.</t>
        </is>
      </c>
      <c r="F8" s="27" t="inlineStr">
        <is>
          <t>Thêm 4 StatType (111..115) + 4 dòng vào GameConstants.StatTypeName (thiếu key sẽ ném KeyNotFoundException ở StatsViewDTO).</t>
        </is>
      </c>
    </row>
    <row r="9" ht="58" customHeight="1">
      <c r="A9" s="27" t="inlineStr">
        <is>
          <t>B6</t>
        </is>
      </c>
      <c r="B9" s="28" t="inlineStr">
        <is>
          <t>HIGH</t>
        </is>
      </c>
      <c r="C9" s="27" t="inlineStr">
        <is>
          <t>Code — DerivedStatFormula</t>
        </is>
      </c>
      <c r="D9" s="27" t="inlineStr">
        <is>
          <t>Không có min/max nên 3 clamp trong bảng công thức không thực thi được</t>
        </is>
      </c>
      <c r="E9" s="27" t="inlineStr">
        <is>
          <t>clamp(AttackSpeed,0.3,3), clamp(CritChance,0,80), clamp(Evasion,0,75) hiện chỉ là chú thích trong Excel.</t>
        </is>
      </c>
      <c r="F9" s="27" t="inlineStr">
        <is>
          <t>Thêm 2 field minValue/maxValue (mặc định -inf/+inf) và kẹp trong Evaluate().</t>
        </is>
      </c>
    </row>
    <row r="10" ht="58" customHeight="1">
      <c r="A10" s="27" t="inlineStr">
        <is>
          <t>B7</t>
        </is>
      </c>
      <c r="B10" s="28" t="inlineStr">
        <is>
          <t>HIGH</t>
        </is>
      </c>
      <c r="C10" s="27" t="inlineStr">
        <is>
          <t>Balance</t>
        </is>
      </c>
      <c r="D10" s="27" t="inlineStr">
        <is>
          <t>Nhóm stat %/clamp gần như bất động suốt 20 level → cộng điểm không có cảm giác</t>
        </is>
      </c>
      <c r="E10" s="27" t="inlineStr">
        <is>
          <t>Lv1→20: AttackSpeed +6.3%, MoveSpeed +2.5%, CritDamage +1.5%, CritChance +13.9%. Trong khi MaxHP +105%, PhysicalDamage +112%.</t>
        </is>
      </c>
      <c r="F10" s="27" t="inlineStr">
        <is>
          <t>Hoặc tăng hệ số nhóm % lên ~4-5 lần, hoặc phát 3-5 điểm/level thay vì 1.</t>
        </is>
      </c>
    </row>
    <row r="11" ht="58" customHeight="1">
      <c r="A11" s="27" t="inlineStr">
        <is>
          <t>B8</t>
        </is>
      </c>
      <c r="B11" s="29" t="inlineStr">
        <is>
          <t>MEDIUM</t>
        </is>
      </c>
      <c r="C11" s="27" t="inlineStr">
        <is>
          <t>Balance</t>
        </is>
      </c>
      <c r="D11" s="27" t="inlineStr">
        <is>
          <t>Phòng thủ Player leo nhanh hơn sát thương quái thường → game DỄ dần theo level</t>
        </is>
      </c>
      <c r="E11" s="27" t="inlineStr">
        <is>
          <t>Trash đánh Player: 6.2 dmg/hit ở Lv1 → 5.8 ở Lv20, trong khi HP Player 198→406. Số hit để giết Player: 32 → 70.</t>
        </is>
      </c>
      <c r="F11" s="27" t="inlineStr">
        <is>
          <t>Cho quái primary scaling theo level (hiện primary quái đứng yên, chỉ perLevel chạy), hoặc giảm hệ số VIT→Defense.</t>
        </is>
      </c>
    </row>
    <row r="12" ht="58" customHeight="1">
      <c r="A12" s="27" t="inlineStr">
        <is>
          <t>B9</t>
        </is>
      </c>
      <c r="B12" s="29" t="inlineStr">
        <is>
          <t>MEDIUM</t>
        </is>
      </c>
      <c r="C12" s="27" t="inlineStr">
        <is>
          <t>Balance</t>
        </is>
      </c>
      <c r="D12" s="27" t="inlineStr">
        <is>
          <t>Chênh lệch sát thương giữa các archetype quá lớn</t>
        </is>
      </c>
      <c r="E12" s="27" t="inlineStr">
        <is>
          <t>Lv20 lên Player: Trash 5.8/hit, Assassin 19.6/hit, Caster 53.4/cast, Boss 136/hit — Boss giết Player trong 3.5s.</t>
        </is>
      </c>
      <c r="F12" s="27" t="inlineStr">
        <is>
          <t>Kéo Boss PhysicalDamage base 10/perLevel 2.6/STR×4 xuống ~60% và nâng đáy của Trash/Swarm.</t>
        </is>
      </c>
    </row>
    <row r="13" ht="58" customHeight="1">
      <c r="A13" s="27" t="inlineStr">
        <is>
          <t>B10</t>
        </is>
      </c>
      <c r="B13" s="29" t="inlineStr">
        <is>
          <t>MEDIUM</t>
        </is>
      </c>
      <c r="C13" s="27" t="inlineStr">
        <is>
          <t>Balance</t>
        </is>
      </c>
      <c r="D13" s="27" t="inlineStr">
        <is>
          <t>TTK quái thường quá dài so với thể loại action roguelike</t>
        </is>
      </c>
      <c r="E13" s="27" t="inlineStr">
        <is>
          <t>Player giết 1 Trash Melee: 7.5s (Lv1) → 5.2s (Lv20). Cult of the Lamb: quái thường chết trong 1-3 đòn.</t>
        </is>
      </c>
      <c r="F13" s="27" t="inlineStr">
        <is>
          <t>Giảm MaxHP Trash (VIT×13 → ~×6) hoặc nâng PhysicalDamage Player; mục tiêu 2-3 đòn/con.</t>
        </is>
      </c>
    </row>
    <row r="14" ht="58" customHeight="1">
      <c r="A14" s="27" t="inlineStr">
        <is>
          <t>B11</t>
        </is>
      </c>
      <c r="B14" s="30" t="inlineStr">
        <is>
          <t>LOW</t>
        </is>
      </c>
      <c r="C14" s="27" t="inlineStr">
        <is>
          <t>Code — Stat.cs:143</t>
        </is>
      </c>
      <c r="D14" s="27" t="inlineStr">
        <is>
          <t>Recaulate() dòng adjustedValue = AdjustedValue là tự gán chính nó (no-op)</t>
        </is>
      </c>
      <c r="E14" s="27" t="inlineStr">
        <is>
          <t>AdjustedValue giờ là field được serialize chứ không còn là property tính ra base+levelUp như doc-comment mô tả.</t>
        </is>
      </c>
      <c r="F14" s="27" t="inlineStr">
        <is>
          <t>Xoá dòng đó (CalculateFinalValue đã gán đúng), hoặc đổi tên method cho khỏi nhầm.</t>
        </is>
      </c>
    </row>
    <row r="15" ht="58" customHeight="1">
      <c r="A15" s="27" t="inlineStr">
        <is>
          <t>B12</t>
        </is>
      </c>
      <c r="B15" s="30" t="inlineStr">
        <is>
          <t>LOW</t>
        </is>
      </c>
      <c r="C15" s="27" t="inlineStr">
        <is>
          <t>Code — Stat.cs:46</t>
        </is>
      </c>
      <c r="D15" s="27" t="inlineStr">
        <is>
          <t>cachedValue / isDirty thành field chết sau khi bỏ lazy caching</t>
        </is>
      </c>
      <c r="E15" s="27" t="inlineStr">
        <is>
          <t>SetDirty() giờ gọi Recaulate() ngay → tính lại tức thì mỗi lần ghi; isDirty không còn ai đọc.</t>
        </is>
      </c>
      <c r="F15" s="27" t="inlineStr">
        <is>
          <t>Xoá 2 field + cập nhật doc-comment của class (đang mô tả Value/BonusValue đã bị comment out).</t>
        </is>
      </c>
    </row>
    <row r="16" ht="58" customHeight="1">
      <c r="A16" s="27" t="inlineStr">
        <is>
          <t>B13</t>
        </is>
      </c>
      <c r="B16" s="30" t="inlineStr">
        <is>
          <t>LOW</t>
        </is>
      </c>
      <c r="C16" s="27" t="inlineStr">
        <is>
          <t>Code — StatsSO.cs:9</t>
        </is>
      </c>
      <c r="D16" s="27" t="inlineStr">
        <is>
          <t>[Min(1)] trên statUnusedBonus mâu thuẫn với logic tính ra 0</t>
        </is>
      </c>
      <c r="E16" s="27" t="inlineStr">
        <is>
          <t>CalculateStatUnusedBonus kẹp sàn 0, còn property setter kẹp Mathf.Max(1,...) và attribute kẹp 1 → không bao giờ hiển thị hết điểm.</t>
        </is>
      </c>
      <c r="F16" s="27" t="inlineStr">
        <is>
          <t>Đổi thành [Min(0)] và Mathf.Max(0, value).</t>
        </is>
      </c>
    </row>
    <row r="17" ht="58" customHeight="1">
      <c r="A17" s="27" t="inlineStr">
        <is>
          <t>B14</t>
        </is>
      </c>
      <c r="B17" s="30" t="inlineStr">
        <is>
          <t>LOW</t>
        </is>
      </c>
      <c r="C17" s="27" t="inlineStr">
        <is>
          <t>Code — Stat.cs:236</t>
        </is>
      </c>
      <c r="D17" s="27" t="inlineStr">
        <is>
          <t>Hai Debug.Log không rào trong CalculateFinalValue()</t>
        </is>
      </c>
      <c r="E17" s="27" t="inlineStr">
        <is>
          <t>Bắn mỗi lần ghi vào bất kỳ stat nào đang mang modifier, kể cả trong vòng lặp OnValidate quét cả profile.</t>
        </is>
      </c>
      <c r="F17" s="27" t="inlineStr">
        <is>
          <t>Xoá, hoặc bọc #if UNITY_EDITOR (isDevMode nằm ở StatsSO, Stat không với tới được).</t>
        </is>
      </c>
    </row>
    <row r="18" ht="58" customHeight="1">
      <c r="A18" s="27" t="inlineStr">
        <is>
          <t>B15</t>
        </is>
      </c>
      <c r="B18" s="30" t="inlineStr">
        <is>
          <t>INFO</t>
        </is>
      </c>
      <c r="C18" s="27" t="inlineStr">
        <is>
          <t>Excel</t>
        </is>
      </c>
      <c r="D18" s="27" t="inlineStr">
        <is>
          <t>File vừa gửi trùng khít bản trong repo về mặt số liệu</t>
        </is>
      </c>
      <c r="E18" s="27" t="inlineStr">
        <is>
          <t>Diff toàn workbook: chỉ 1 khác biệt — tiêu đề dời từ ô A1/A2 sang B1/B2. Toàn bộ 7 entity × 16 stat giống hệt.</t>
        </is>
      </c>
      <c r="F18" s="27" t="inlineStr">
        <is>
          <t>Nếu định sửa số thì bản này chưa mang thay đổi nào; mọi kết luận trên đây áp cho bộ số hiện hành.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2" customWidth="1" min="10" max="10"/>
    <col width="12" customWidth="1" min="11" max="11"/>
  </cols>
  <sheetData>
    <row r="1">
      <c r="A1" s="1" t="inlineStr">
        <is>
          <t>HỆ SỐ GỐC (copy từ stat_system_formula_reference.xlsx — nguồn duy nhất để đối chiếu)</t>
        </is>
      </c>
    </row>
    <row r="3">
      <c r="A3" s="31" t="inlineStr">
        <is>
          <t>PLAYER</t>
        </is>
      </c>
      <c r="C3" s="32" t="inlineStr">
        <is>
          <t>Primary: STR=10  DEX=10  INT=10  VIT=10  LUK=10</t>
        </is>
      </c>
    </row>
    <row r="4">
      <c r="A4" s="6" t="inlineStr">
        <is>
          <t>Stat</t>
        </is>
      </c>
      <c r="B4" s="6" t="inlineStr">
        <is>
          <t>Đơn vị</t>
        </is>
      </c>
      <c r="C4" s="6" t="inlineStr">
        <is>
          <t>base</t>
        </is>
      </c>
      <c r="D4" s="6" t="inlineStr">
        <is>
          <t>perLevel</t>
        </is>
      </c>
      <c r="E4" s="6" t="inlineStr">
        <is>
          <t>STR</t>
        </is>
      </c>
      <c r="F4" s="6" t="inlineStr">
        <is>
          <t>DEX</t>
        </is>
      </c>
      <c r="G4" s="6" t="inlineStr">
        <is>
          <t>INT</t>
        </is>
      </c>
      <c r="H4" s="6" t="inlineStr">
        <is>
          <t>VIT</t>
        </is>
      </c>
      <c r="I4" s="6" t="inlineStr">
        <is>
          <t>LUK</t>
        </is>
      </c>
      <c r="J4" s="6" t="inlineStr">
        <is>
          <t>Giá trị Lv1</t>
        </is>
      </c>
      <c r="K4" s="6" t="inlineStr">
        <is>
          <t>Giá trị Lv20</t>
        </is>
      </c>
    </row>
    <row r="5">
      <c r="A5" s="10" t="inlineStr">
        <is>
          <t>MaxHP</t>
        </is>
      </c>
      <c r="B5" s="10" t="inlineStr">
        <is>
          <t>HP</t>
        </is>
      </c>
      <c r="C5" s="10" t="n">
        <v>50</v>
      </c>
      <c r="D5" s="10" t="n">
        <v>8</v>
      </c>
      <c r="E5" s="10" t="n">
        <v>2</v>
      </c>
      <c r="F5" s="10" t="n">
        <v>0</v>
      </c>
      <c r="G5" s="10" t="n">
        <v>0</v>
      </c>
      <c r="H5" s="10" t="n">
        <v>12</v>
      </c>
      <c r="I5" s="10" t="n">
        <v>0</v>
      </c>
      <c r="J5" s="13" t="n">
        <v>198</v>
      </c>
      <c r="K5" s="13" t="n">
        <v>350</v>
      </c>
    </row>
    <row r="6">
      <c r="A6" s="10" t="inlineStr">
        <is>
          <t>MaxMana</t>
        </is>
      </c>
      <c r="B6" s="10" t="inlineStr">
        <is>
          <t>Mana</t>
        </is>
      </c>
      <c r="C6" s="10" t="n">
        <v>30</v>
      </c>
      <c r="D6" s="10" t="n">
        <v>3</v>
      </c>
      <c r="E6" s="10" t="n">
        <v>0</v>
      </c>
      <c r="F6" s="10" t="n">
        <v>0</v>
      </c>
      <c r="G6" s="10" t="n">
        <v>10</v>
      </c>
      <c r="H6" s="10" t="n">
        <v>1</v>
      </c>
      <c r="I6" s="10" t="n">
        <v>0</v>
      </c>
      <c r="J6" s="13" t="n">
        <v>143</v>
      </c>
      <c r="K6" s="13" t="n">
        <v>200</v>
      </c>
    </row>
    <row r="7">
      <c r="A7" s="10" t="inlineStr">
        <is>
          <t>PhysicalDamage</t>
        </is>
      </c>
      <c r="B7" s="10" t="inlineStr">
        <is>
          <t>dmg/hit</t>
        </is>
      </c>
      <c r="C7" s="10" t="n">
        <v>0</v>
      </c>
      <c r="D7" s="10" t="n">
        <v>1.2</v>
      </c>
      <c r="E7" s="10" t="n">
        <v>2.2</v>
      </c>
      <c r="F7" s="10" t="n">
        <v>0.8</v>
      </c>
      <c r="G7" s="10" t="n">
        <v>0</v>
      </c>
      <c r="H7" s="10" t="n">
        <v>0</v>
      </c>
      <c r="I7" s="10" t="n">
        <v>0</v>
      </c>
      <c r="J7" s="13" t="n">
        <v>31.2</v>
      </c>
      <c r="K7" s="13" t="n">
        <v>54</v>
      </c>
    </row>
    <row r="8">
      <c r="A8" s="10" t="inlineStr">
        <is>
          <t>MagicDamage</t>
        </is>
      </c>
      <c r="B8" s="10" t="inlineStr">
        <is>
          <t>dmg/hit</t>
        </is>
      </c>
      <c r="C8" s="10" t="n">
        <v>0</v>
      </c>
      <c r="D8" s="10" t="n">
        <v>1.2</v>
      </c>
      <c r="E8" s="10" t="n">
        <v>0</v>
      </c>
      <c r="F8" s="10" t="n">
        <v>0</v>
      </c>
      <c r="G8" s="10" t="n">
        <v>2.5</v>
      </c>
      <c r="H8" s="10" t="n">
        <v>0</v>
      </c>
      <c r="I8" s="10" t="n">
        <v>0.3</v>
      </c>
      <c r="J8" s="13" t="n">
        <v>29.2</v>
      </c>
      <c r="K8" s="13" t="n">
        <v>52</v>
      </c>
    </row>
    <row r="9">
      <c r="A9" s="10" t="inlineStr">
        <is>
          <t>Defense</t>
        </is>
      </c>
      <c r="B9" s="10" t="inlineStr">
        <is>
          <t>flat</t>
        </is>
      </c>
      <c r="C9" s="10" t="n">
        <v>0</v>
      </c>
      <c r="D9" s="10" t="n">
        <v>0.6</v>
      </c>
      <c r="E9" s="10" t="n">
        <v>0.5</v>
      </c>
      <c r="F9" s="10" t="n">
        <v>0</v>
      </c>
      <c r="G9" s="10" t="n">
        <v>0</v>
      </c>
      <c r="H9" s="10" t="n">
        <v>1.5</v>
      </c>
      <c r="I9" s="10" t="n">
        <v>0</v>
      </c>
      <c r="J9" s="13" t="n">
        <v>20.6</v>
      </c>
      <c r="K9" s="13" t="n">
        <v>32</v>
      </c>
    </row>
    <row r="10">
      <c r="A10" s="10" t="inlineStr">
        <is>
          <t>MagicDefense</t>
        </is>
      </c>
      <c r="B10" s="10" t="inlineStr">
        <is>
          <t>flat</t>
        </is>
      </c>
      <c r="C10" s="10" t="n">
        <v>0</v>
      </c>
      <c r="D10" s="10" t="n">
        <v>0.4</v>
      </c>
      <c r="E10" s="10" t="n">
        <v>0</v>
      </c>
      <c r="F10" s="10" t="n">
        <v>0</v>
      </c>
      <c r="G10" s="10" t="n">
        <v>1</v>
      </c>
      <c r="H10" s="10" t="n">
        <v>0.8</v>
      </c>
      <c r="I10" s="10" t="n">
        <v>0</v>
      </c>
      <c r="J10" s="13" t="n">
        <v>18.4</v>
      </c>
      <c r="K10" s="13" t="n">
        <v>26</v>
      </c>
    </row>
    <row r="11">
      <c r="A11" s="10" t="inlineStr">
        <is>
          <t>AttackSpeed</t>
        </is>
      </c>
      <c r="B11" s="10" t="inlineStr">
        <is>
          <t>hits/s</t>
        </is>
      </c>
      <c r="C11" s="10" t="n">
        <v>0.8</v>
      </c>
      <c r="D11" s="10" t="n">
        <v>0</v>
      </c>
      <c r="E11" s="10" t="n">
        <v>0</v>
      </c>
      <c r="F11" s="10" t="n">
        <v>0.015</v>
      </c>
      <c r="G11" s="10" t="n">
        <v>0</v>
      </c>
      <c r="H11" s="10" t="n">
        <v>0</v>
      </c>
      <c r="I11" s="10" t="n">
        <v>0</v>
      </c>
      <c r="J11" s="13" t="n">
        <v>0.95</v>
      </c>
      <c r="K11" s="13" t="n">
        <v>0.95</v>
      </c>
    </row>
    <row r="12">
      <c r="A12" s="10" t="inlineStr">
        <is>
          <t>CritChance</t>
        </is>
      </c>
      <c r="B12" s="10" t="inlineStr">
        <is>
          <t>%</t>
        </is>
      </c>
      <c r="C12" s="10" t="n">
        <v>5</v>
      </c>
      <c r="D12" s="10" t="n">
        <v>0</v>
      </c>
      <c r="E12" s="10" t="n">
        <v>0</v>
      </c>
      <c r="F12" s="10" t="n">
        <v>0.05</v>
      </c>
      <c r="G12" s="10" t="n">
        <v>0</v>
      </c>
      <c r="H12" s="10" t="n">
        <v>0</v>
      </c>
      <c r="I12" s="10" t="n">
        <v>0.35</v>
      </c>
      <c r="J12" s="13" t="n">
        <v>9</v>
      </c>
      <c r="K12" s="13" t="n">
        <v>9</v>
      </c>
    </row>
    <row r="13">
      <c r="A13" s="10" t="inlineStr">
        <is>
          <t>CritDamage</t>
        </is>
      </c>
      <c r="B13" s="10" t="inlineStr">
        <is>
          <t>%</t>
        </is>
      </c>
      <c r="C13" s="10" t="n">
        <v>150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0.8</v>
      </c>
      <c r="J13" s="13" t="n">
        <v>158</v>
      </c>
      <c r="K13" s="13" t="n">
        <v>158</v>
      </c>
    </row>
    <row r="14">
      <c r="A14" s="10" t="inlineStr">
        <is>
          <t>MoveSpeed</t>
        </is>
      </c>
      <c r="B14" s="10" t="inlineStr">
        <is>
          <t>m/s</t>
        </is>
      </c>
      <c r="C14" s="10" t="n">
        <v>3</v>
      </c>
      <c r="D14" s="10" t="n">
        <v>0</v>
      </c>
      <c r="E14" s="10" t="n">
        <v>0</v>
      </c>
      <c r="F14" s="10" t="n">
        <v>0.02</v>
      </c>
      <c r="G14" s="10" t="n">
        <v>0</v>
      </c>
      <c r="H14" s="10" t="n">
        <v>0</v>
      </c>
      <c r="I14" s="10" t="n">
        <v>0</v>
      </c>
      <c r="J14" s="13" t="n">
        <v>3.2</v>
      </c>
      <c r="K14" s="13" t="n">
        <v>3.2</v>
      </c>
    </row>
    <row r="15">
      <c r="A15" s="10" t="inlineStr">
        <is>
          <t>HPRegen</t>
        </is>
      </c>
      <c r="B15" s="10" t="inlineStr">
        <is>
          <t>HP/s</t>
        </is>
      </c>
      <c r="C15" s="10" t="n">
        <v>1</v>
      </c>
      <c r="D15" s="10" t="n">
        <v>0.1</v>
      </c>
      <c r="E15" s="10" t="n">
        <v>0</v>
      </c>
      <c r="F15" s="10" t="n">
        <v>0</v>
      </c>
      <c r="G15" s="10" t="n">
        <v>0</v>
      </c>
      <c r="H15" s="10" t="n">
        <v>0.1</v>
      </c>
      <c r="I15" s="10" t="n">
        <v>0</v>
      </c>
      <c r="J15" s="13" t="n">
        <v>2.1</v>
      </c>
      <c r="K15" s="13" t="n">
        <v>4</v>
      </c>
    </row>
    <row r="16">
      <c r="A16" s="10" t="inlineStr">
        <is>
          <t>ManaRegen</t>
        </is>
      </c>
      <c r="B16" s="10" t="inlineStr">
        <is>
          <t>Mana/s</t>
        </is>
      </c>
      <c r="C16" s="10" t="n">
        <v>1</v>
      </c>
      <c r="D16" s="10" t="n">
        <v>0.08</v>
      </c>
      <c r="E16" s="10" t="n">
        <v>0</v>
      </c>
      <c r="F16" s="10" t="n">
        <v>0</v>
      </c>
      <c r="G16" s="10" t="n">
        <v>0.08</v>
      </c>
      <c r="H16" s="10" t="n">
        <v>0</v>
      </c>
      <c r="I16" s="10" t="n">
        <v>0</v>
      </c>
      <c r="J16" s="13" t="n">
        <v>1.88</v>
      </c>
      <c r="K16" s="13" t="n">
        <v>3.4</v>
      </c>
    </row>
    <row r="17">
      <c r="A17" s="10" t="inlineStr">
        <is>
          <t>Evasion</t>
        </is>
      </c>
      <c r="B17" s="10" t="inlineStr">
        <is>
          <t>%</t>
        </is>
      </c>
      <c r="C17" s="10" t="n">
        <v>0</v>
      </c>
      <c r="D17" s="10" t="n">
        <v>0</v>
      </c>
      <c r="E17" s="10" t="n">
        <v>0</v>
      </c>
      <c r="F17" s="10" t="n">
        <v>0.25</v>
      </c>
      <c r="G17" s="10" t="n">
        <v>0</v>
      </c>
      <c r="H17" s="10" t="n">
        <v>0</v>
      </c>
      <c r="I17" s="10" t="n">
        <v>0.1</v>
      </c>
      <c r="J17" s="13" t="n">
        <v>3.5</v>
      </c>
      <c r="K17" s="13" t="n">
        <v>3.5</v>
      </c>
    </row>
    <row r="18">
      <c r="A18" s="10" t="inlineStr">
        <is>
          <t>LifeSteal</t>
        </is>
      </c>
      <c r="B18" s="10" t="inlineStr">
        <is>
          <t>%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0.05</v>
      </c>
      <c r="J18" s="13" t="n">
        <v>0.5</v>
      </c>
      <c r="K18" s="13" t="n">
        <v>0.5</v>
      </c>
    </row>
    <row r="19">
      <c r="A19" s="10" t="inlineStr">
        <is>
          <t>CrowdControlResist</t>
        </is>
      </c>
      <c r="B19" s="10" t="inlineStr">
        <is>
          <t>%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3" t="n">
        <v>0</v>
      </c>
      <c r="K19" s="13" t="n">
        <v>0</v>
      </c>
    </row>
    <row r="20">
      <c r="A20" s="10" t="inlineStr">
        <is>
          <t>AttackRange</t>
        </is>
      </c>
      <c r="B20" s="10" t="inlineStr">
        <is>
          <t>m</t>
        </is>
      </c>
      <c r="C20" s="10" t="n">
        <v>1.5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3" t="n">
        <v>1.5</v>
      </c>
      <c r="K20" s="13" t="n">
        <v>1.5</v>
      </c>
    </row>
    <row r="22">
      <c r="A22" s="31" t="inlineStr">
        <is>
          <t>TRASH MELEE</t>
        </is>
      </c>
      <c r="C22" s="32" t="inlineStr">
        <is>
          <t>Primary: STR=8  DEX=6  INT=2  VIT=8  LUK=2</t>
        </is>
      </c>
    </row>
    <row r="23">
      <c r="A23" s="6" t="inlineStr">
        <is>
          <t>Stat</t>
        </is>
      </c>
      <c r="B23" s="6" t="inlineStr">
        <is>
          <t>Đơn vị</t>
        </is>
      </c>
      <c r="C23" s="6" t="inlineStr">
        <is>
          <t>base</t>
        </is>
      </c>
      <c r="D23" s="6" t="inlineStr">
        <is>
          <t>perLevel</t>
        </is>
      </c>
      <c r="E23" s="6" t="inlineStr">
        <is>
          <t>STR</t>
        </is>
      </c>
      <c r="F23" s="6" t="inlineStr">
        <is>
          <t>DEX</t>
        </is>
      </c>
      <c r="G23" s="6" t="inlineStr">
        <is>
          <t>INT</t>
        </is>
      </c>
      <c r="H23" s="6" t="inlineStr">
        <is>
          <t>VIT</t>
        </is>
      </c>
      <c r="I23" s="6" t="inlineStr">
        <is>
          <t>LUK</t>
        </is>
      </c>
      <c r="J23" s="6" t="inlineStr">
        <is>
          <t>Giá trị Lv1</t>
        </is>
      </c>
      <c r="K23" s="6" t="inlineStr">
        <is>
          <t>Giá trị Lv20</t>
        </is>
      </c>
    </row>
    <row r="24">
      <c r="A24" s="10" t="inlineStr">
        <is>
          <t>MaxHP</t>
        </is>
      </c>
      <c r="B24" s="10" t="inlineStr">
        <is>
          <t>HP</t>
        </is>
      </c>
      <c r="C24" s="10" t="n">
        <v>30</v>
      </c>
      <c r="D24" s="10" t="n">
        <v>6</v>
      </c>
      <c r="E24" s="10" t="n">
        <v>1.5</v>
      </c>
      <c r="F24" s="10" t="n">
        <v>0</v>
      </c>
      <c r="G24" s="10" t="n">
        <v>0</v>
      </c>
      <c r="H24" s="10" t="n">
        <v>13</v>
      </c>
      <c r="I24" s="10" t="n">
        <v>0</v>
      </c>
      <c r="J24" s="13" t="n">
        <v>152</v>
      </c>
      <c r="K24" s="13" t="n">
        <v>266</v>
      </c>
    </row>
    <row r="25">
      <c r="A25" s="10" t="inlineStr">
        <is>
          <t>MaxMana</t>
        </is>
      </c>
      <c r="B25" s="10" t="inlineStr">
        <is>
          <t>Mana</t>
        </is>
      </c>
      <c r="C25" s="10" t="n">
        <v>10</v>
      </c>
      <c r="D25" s="10" t="n">
        <v>1</v>
      </c>
      <c r="E25" s="10" t="n">
        <v>0</v>
      </c>
      <c r="F25" s="10" t="n">
        <v>0</v>
      </c>
      <c r="G25" s="10" t="n">
        <v>5</v>
      </c>
      <c r="H25" s="10" t="n">
        <v>0</v>
      </c>
      <c r="I25" s="10" t="n">
        <v>0</v>
      </c>
      <c r="J25" s="13" t="n">
        <v>21</v>
      </c>
      <c r="K25" s="13" t="n">
        <v>40</v>
      </c>
    </row>
    <row r="26">
      <c r="A26" s="10" t="inlineStr">
        <is>
          <t>PhysicalDamage</t>
        </is>
      </c>
      <c r="B26" s="10" t="inlineStr">
        <is>
          <t>dmg/hit</t>
        </is>
      </c>
      <c r="C26" s="10" t="n">
        <v>2</v>
      </c>
      <c r="D26" s="10" t="n">
        <v>1</v>
      </c>
      <c r="E26" s="10" t="n">
        <v>2.6</v>
      </c>
      <c r="F26" s="10" t="n">
        <v>0.5</v>
      </c>
      <c r="G26" s="10" t="n">
        <v>0</v>
      </c>
      <c r="H26" s="10" t="n">
        <v>0</v>
      </c>
      <c r="I26" s="10" t="n">
        <v>0</v>
      </c>
      <c r="J26" s="13" t="n">
        <v>26.8</v>
      </c>
      <c r="K26" s="13" t="n">
        <v>45.8</v>
      </c>
    </row>
    <row r="27">
      <c r="A27" s="10" t="inlineStr">
        <is>
          <t>MagicDamage</t>
        </is>
      </c>
      <c r="B27" s="10" t="inlineStr">
        <is>
          <t>dmg/hit</t>
        </is>
      </c>
      <c r="C27" s="10" t="n">
        <v>0</v>
      </c>
      <c r="D27" s="10" t="n">
        <v>0.2</v>
      </c>
      <c r="E27" s="10" t="n">
        <v>0</v>
      </c>
      <c r="F27" s="10" t="n">
        <v>0</v>
      </c>
      <c r="G27" s="10" t="n">
        <v>0.7</v>
      </c>
      <c r="H27" s="10" t="n">
        <v>0</v>
      </c>
      <c r="I27" s="10" t="n">
        <v>0.1</v>
      </c>
      <c r="J27" s="13" t="n">
        <v>1.8</v>
      </c>
      <c r="K27" s="13" t="n">
        <v>5.6</v>
      </c>
    </row>
    <row r="28">
      <c r="A28" s="10" t="inlineStr">
        <is>
          <t>Defense</t>
        </is>
      </c>
      <c r="B28" s="10" t="inlineStr">
        <is>
          <t>flat</t>
        </is>
      </c>
      <c r="C28" s="10" t="n">
        <v>0</v>
      </c>
      <c r="D28" s="10" t="n">
        <v>0.4</v>
      </c>
      <c r="E28" s="10" t="n">
        <v>0.3</v>
      </c>
      <c r="F28" s="10" t="n">
        <v>0</v>
      </c>
      <c r="G28" s="10" t="n">
        <v>0</v>
      </c>
      <c r="H28" s="10" t="n">
        <v>1</v>
      </c>
      <c r="I28" s="10" t="n">
        <v>0</v>
      </c>
      <c r="J28" s="13" t="n">
        <v>10.8</v>
      </c>
      <c r="K28" s="13" t="n">
        <v>18.4</v>
      </c>
    </row>
    <row r="29">
      <c r="A29" s="10" t="inlineStr">
        <is>
          <t>MagicDefense</t>
        </is>
      </c>
      <c r="B29" s="10" t="inlineStr">
        <is>
          <t>flat</t>
        </is>
      </c>
      <c r="C29" s="10" t="n">
        <v>0</v>
      </c>
      <c r="D29" s="10" t="n">
        <v>0.2</v>
      </c>
      <c r="E29" s="10" t="n">
        <v>0</v>
      </c>
      <c r="F29" s="10" t="n">
        <v>0</v>
      </c>
      <c r="G29" s="10" t="n">
        <v>0.5</v>
      </c>
      <c r="H29" s="10" t="n">
        <v>0.4</v>
      </c>
      <c r="I29" s="10" t="n">
        <v>0</v>
      </c>
      <c r="J29" s="13" t="n">
        <v>4.4</v>
      </c>
      <c r="K29" s="13" t="n">
        <v>8.199999999999999</v>
      </c>
    </row>
    <row r="30">
      <c r="A30" s="10" t="inlineStr">
        <is>
          <t>AttackSpeed</t>
        </is>
      </c>
      <c r="B30" s="10" t="inlineStr">
        <is>
          <t>hits/s</t>
        </is>
      </c>
      <c r="C30" s="10" t="n">
        <v>0.8</v>
      </c>
      <c r="D30" s="10" t="n">
        <v>0</v>
      </c>
      <c r="E30" s="10" t="n">
        <v>0</v>
      </c>
      <c r="F30" s="10" t="n">
        <v>0.015</v>
      </c>
      <c r="G30" s="10" t="n">
        <v>0</v>
      </c>
      <c r="H30" s="10" t="n">
        <v>0</v>
      </c>
      <c r="I30" s="10" t="n">
        <v>0</v>
      </c>
      <c r="J30" s="13" t="n">
        <v>0.89</v>
      </c>
      <c r="K30" s="13" t="n">
        <v>0.89</v>
      </c>
    </row>
    <row r="31">
      <c r="A31" s="10" t="inlineStr">
        <is>
          <t>CritChance</t>
        </is>
      </c>
      <c r="B31" s="10" t="inlineStr">
        <is>
          <t>%</t>
        </is>
      </c>
      <c r="C31" s="10" t="n">
        <v>3</v>
      </c>
      <c r="D31" s="10" t="n">
        <v>0</v>
      </c>
      <c r="E31" s="10" t="n">
        <v>0</v>
      </c>
      <c r="F31" s="10" t="n">
        <v>0.03</v>
      </c>
      <c r="G31" s="10" t="n">
        <v>0</v>
      </c>
      <c r="H31" s="10" t="n">
        <v>0</v>
      </c>
      <c r="I31" s="10" t="n">
        <v>0.2</v>
      </c>
      <c r="J31" s="13" t="n">
        <v>3.58</v>
      </c>
      <c r="K31" s="13" t="n">
        <v>3.58</v>
      </c>
    </row>
    <row r="32">
      <c r="A32" s="10" t="inlineStr">
        <is>
          <t>CritDamage</t>
        </is>
      </c>
      <c r="B32" s="10" t="inlineStr">
        <is>
          <t>%</t>
        </is>
      </c>
      <c r="C32" s="10" t="n">
        <v>150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3" t="n">
        <v>150</v>
      </c>
      <c r="K32" s="13" t="n">
        <v>150</v>
      </c>
    </row>
    <row r="33">
      <c r="A33" s="10" t="inlineStr">
        <is>
          <t>MoveSpeed</t>
        </is>
      </c>
      <c r="B33" s="10" t="inlineStr">
        <is>
          <t>m/s</t>
        </is>
      </c>
      <c r="C33" s="10" t="n">
        <v>2.7</v>
      </c>
      <c r="D33" s="10" t="n">
        <v>0</v>
      </c>
      <c r="E33" s="10" t="n">
        <v>0</v>
      </c>
      <c r="F33" s="10" t="n">
        <v>0.015</v>
      </c>
      <c r="G33" s="10" t="n">
        <v>0</v>
      </c>
      <c r="H33" s="10" t="n">
        <v>0</v>
      </c>
      <c r="I33" s="10" t="n">
        <v>0</v>
      </c>
      <c r="J33" s="13" t="n">
        <v>2.79</v>
      </c>
      <c r="K33" s="13" t="n">
        <v>2.79</v>
      </c>
    </row>
    <row r="34">
      <c r="A34" s="10" t="inlineStr">
        <is>
          <t>HPRegen</t>
        </is>
      </c>
      <c r="B34" s="10" t="inlineStr">
        <is>
          <t>HP/s</t>
        </is>
      </c>
      <c r="C34" s="10" t="n">
        <v>0.3</v>
      </c>
      <c r="D34" s="10" t="n">
        <v>0.05</v>
      </c>
      <c r="E34" s="10" t="n">
        <v>0</v>
      </c>
      <c r="F34" s="10" t="n">
        <v>0</v>
      </c>
      <c r="G34" s="10" t="n">
        <v>0</v>
      </c>
      <c r="H34" s="10" t="n">
        <v>0.05</v>
      </c>
      <c r="I34" s="10" t="n">
        <v>0</v>
      </c>
      <c r="J34" s="13" t="n">
        <v>0.75</v>
      </c>
      <c r="K34" s="13" t="n">
        <v>1.7</v>
      </c>
    </row>
    <row r="35">
      <c r="A35" s="10" t="inlineStr">
        <is>
          <t>ManaRegen</t>
        </is>
      </c>
      <c r="B35" s="10" t="inlineStr">
        <is>
          <t>Mana/s</t>
        </is>
      </c>
      <c r="C35" s="10" t="n">
        <v>0.2</v>
      </c>
      <c r="D35" s="10" t="n">
        <v>0.03</v>
      </c>
      <c r="E35" s="10" t="n">
        <v>0</v>
      </c>
      <c r="F35" s="10" t="n">
        <v>0</v>
      </c>
      <c r="G35" s="10" t="n">
        <v>0.03</v>
      </c>
      <c r="H35" s="10" t="n">
        <v>0</v>
      </c>
      <c r="I35" s="10" t="n">
        <v>0</v>
      </c>
      <c r="J35" s="13" t="n">
        <v>0.29</v>
      </c>
      <c r="K35" s="13" t="n">
        <v>0.86</v>
      </c>
    </row>
    <row r="36">
      <c r="A36" s="10" t="inlineStr">
        <is>
          <t>Evasion</t>
        </is>
      </c>
      <c r="B36" s="10" t="inlineStr">
        <is>
          <t>%</t>
        </is>
      </c>
      <c r="C36" s="10" t="n">
        <v>0</v>
      </c>
      <c r="D36" s="10" t="n">
        <v>0</v>
      </c>
      <c r="E36" s="10" t="n">
        <v>0</v>
      </c>
      <c r="F36" s="10" t="n">
        <v>0.15</v>
      </c>
      <c r="G36" s="10" t="n">
        <v>0</v>
      </c>
      <c r="H36" s="10" t="n">
        <v>0</v>
      </c>
      <c r="I36" s="10" t="n">
        <v>0.05</v>
      </c>
      <c r="J36" s="13" t="n">
        <v>1</v>
      </c>
      <c r="K36" s="13" t="n">
        <v>1</v>
      </c>
    </row>
    <row r="37">
      <c r="A37" s="10" t="inlineStr">
        <is>
          <t>LifeSteal</t>
        </is>
      </c>
      <c r="B37" s="10" t="inlineStr">
        <is>
          <t>%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3" t="n">
        <v>0</v>
      </c>
      <c r="K37" s="13" t="n">
        <v>0</v>
      </c>
    </row>
    <row r="38">
      <c r="A38" s="10" t="inlineStr">
        <is>
          <t>CrowdControlResist</t>
        </is>
      </c>
      <c r="B38" s="10" t="inlineStr">
        <is>
          <t>%</t>
        </is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3" t="n">
        <v>0</v>
      </c>
      <c r="K38" s="13" t="n">
        <v>0</v>
      </c>
    </row>
    <row r="39">
      <c r="A39" s="10" t="inlineStr">
        <is>
          <t>AttackRange</t>
        </is>
      </c>
      <c r="B39" s="10" t="inlineStr">
        <is>
          <t>m</t>
        </is>
      </c>
      <c r="C39" s="10" t="n">
        <v>1.5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3" t="n">
        <v>1.5</v>
      </c>
      <c r="K39" s="13" t="n">
        <v>1.5</v>
      </c>
    </row>
    <row r="41">
      <c r="A41" s="31" t="inlineStr">
        <is>
          <t>RANGED CASTER</t>
        </is>
      </c>
      <c r="C41" s="32" t="inlineStr">
        <is>
          <t>Primary: STR=3  DEX=5  INT=14  VIT=5  LUK=4</t>
        </is>
      </c>
    </row>
    <row r="42">
      <c r="A42" s="6" t="inlineStr">
        <is>
          <t>Stat</t>
        </is>
      </c>
      <c r="B42" s="6" t="inlineStr">
        <is>
          <t>Đơn vị</t>
        </is>
      </c>
      <c r="C42" s="6" t="inlineStr">
        <is>
          <t>base</t>
        </is>
      </c>
      <c r="D42" s="6" t="inlineStr">
        <is>
          <t>perLevel</t>
        </is>
      </c>
      <c r="E42" s="6" t="inlineStr">
        <is>
          <t>STR</t>
        </is>
      </c>
      <c r="F42" s="6" t="inlineStr">
        <is>
          <t>DEX</t>
        </is>
      </c>
      <c r="G42" s="6" t="inlineStr">
        <is>
          <t>INT</t>
        </is>
      </c>
      <c r="H42" s="6" t="inlineStr">
        <is>
          <t>VIT</t>
        </is>
      </c>
      <c r="I42" s="6" t="inlineStr">
        <is>
          <t>LUK</t>
        </is>
      </c>
      <c r="J42" s="6" t="inlineStr">
        <is>
          <t>Giá trị Lv1</t>
        </is>
      </c>
      <c r="K42" s="6" t="inlineStr">
        <is>
          <t>Giá trị Lv20</t>
        </is>
      </c>
    </row>
    <row r="43">
      <c r="A43" s="10" t="inlineStr">
        <is>
          <t>MaxHP</t>
        </is>
      </c>
      <c r="B43" s="10" t="inlineStr">
        <is>
          <t>HP</t>
        </is>
      </c>
      <c r="C43" s="10" t="n">
        <v>20</v>
      </c>
      <c r="D43" s="10" t="n">
        <v>3.5</v>
      </c>
      <c r="E43" s="10" t="n">
        <v>0.5</v>
      </c>
      <c r="F43" s="10" t="n">
        <v>0</v>
      </c>
      <c r="G43" s="10" t="n">
        <v>0</v>
      </c>
      <c r="H43" s="10" t="n">
        <v>8</v>
      </c>
      <c r="I43" s="10" t="n">
        <v>0</v>
      </c>
      <c r="J43" s="13" t="n">
        <v>65</v>
      </c>
      <c r="K43" s="13" t="n">
        <v>131.5</v>
      </c>
    </row>
    <row r="44">
      <c r="A44" s="10" t="inlineStr">
        <is>
          <t>MaxMana</t>
        </is>
      </c>
      <c r="B44" s="10" t="inlineStr">
        <is>
          <t>Mana</t>
        </is>
      </c>
      <c r="C44" s="10" t="n">
        <v>40</v>
      </c>
      <c r="D44" s="10" t="n">
        <v>4</v>
      </c>
      <c r="E44" s="10" t="n">
        <v>0</v>
      </c>
      <c r="F44" s="10" t="n">
        <v>0</v>
      </c>
      <c r="G44" s="10" t="n">
        <v>14</v>
      </c>
      <c r="H44" s="10" t="n">
        <v>0.5</v>
      </c>
      <c r="I44" s="10" t="n">
        <v>0</v>
      </c>
      <c r="J44" s="13" t="n">
        <v>242.5</v>
      </c>
      <c r="K44" s="13" t="n">
        <v>318.5</v>
      </c>
    </row>
    <row r="45">
      <c r="A45" s="10" t="inlineStr">
        <is>
          <t>PhysicalDamage</t>
        </is>
      </c>
      <c r="B45" s="10" t="inlineStr">
        <is>
          <t>dmg/hit</t>
        </is>
      </c>
      <c r="C45" s="10" t="n">
        <v>0</v>
      </c>
      <c r="D45" s="10" t="n">
        <v>0.5</v>
      </c>
      <c r="E45" s="10" t="n">
        <v>1</v>
      </c>
      <c r="F45" s="10" t="n">
        <v>0.5</v>
      </c>
      <c r="G45" s="10" t="n">
        <v>0</v>
      </c>
      <c r="H45" s="10" t="n">
        <v>0</v>
      </c>
      <c r="I45" s="10" t="n">
        <v>0</v>
      </c>
      <c r="J45" s="13" t="n">
        <v>6</v>
      </c>
      <c r="K45" s="13" t="n">
        <v>15.5</v>
      </c>
    </row>
    <row r="46">
      <c r="A46" s="10" t="inlineStr">
        <is>
          <t>MagicDamage</t>
        </is>
      </c>
      <c r="B46" s="10" t="inlineStr">
        <is>
          <t>dmg/hit</t>
        </is>
      </c>
      <c r="C46" s="10" t="n">
        <v>5</v>
      </c>
      <c r="D46" s="10" t="n">
        <v>1.5</v>
      </c>
      <c r="E46" s="10" t="n">
        <v>0</v>
      </c>
      <c r="F46" s="10" t="n">
        <v>0</v>
      </c>
      <c r="G46" s="10" t="n">
        <v>3.6</v>
      </c>
      <c r="H46" s="10" t="n">
        <v>0</v>
      </c>
      <c r="I46" s="10" t="n">
        <v>0.3</v>
      </c>
      <c r="J46" s="13" t="n">
        <v>58.1</v>
      </c>
      <c r="K46" s="13" t="n">
        <v>86.59999999999999</v>
      </c>
    </row>
    <row r="47">
      <c r="A47" s="10" t="inlineStr">
        <is>
          <t>Defense</t>
        </is>
      </c>
      <c r="B47" s="10" t="inlineStr">
        <is>
          <t>flat</t>
        </is>
      </c>
      <c r="C47" s="10" t="n">
        <v>0</v>
      </c>
      <c r="D47" s="10" t="n">
        <v>0.2</v>
      </c>
      <c r="E47" s="10" t="n">
        <v>0.1</v>
      </c>
      <c r="F47" s="10" t="n">
        <v>0</v>
      </c>
      <c r="G47" s="10" t="n">
        <v>0</v>
      </c>
      <c r="H47" s="10" t="n">
        <v>0.8</v>
      </c>
      <c r="I47" s="10" t="n">
        <v>0</v>
      </c>
      <c r="J47" s="13" t="n">
        <v>4.5</v>
      </c>
      <c r="K47" s="13" t="n">
        <v>8.300000000000001</v>
      </c>
    </row>
    <row r="48">
      <c r="A48" s="10" t="inlineStr">
        <is>
          <t>MagicDefense</t>
        </is>
      </c>
      <c r="B48" s="10" t="inlineStr">
        <is>
          <t>flat</t>
        </is>
      </c>
      <c r="C48" s="10" t="n">
        <v>0</v>
      </c>
      <c r="D48" s="10" t="n">
        <v>0.3</v>
      </c>
      <c r="E48" s="10" t="n">
        <v>0</v>
      </c>
      <c r="F48" s="10" t="n">
        <v>0</v>
      </c>
      <c r="G48" s="10" t="n">
        <v>1</v>
      </c>
      <c r="H48" s="10" t="n">
        <v>0.5</v>
      </c>
      <c r="I48" s="10" t="n">
        <v>0</v>
      </c>
      <c r="J48" s="13" t="n">
        <v>16.8</v>
      </c>
      <c r="K48" s="13" t="n">
        <v>22.5</v>
      </c>
    </row>
    <row r="49">
      <c r="A49" s="10" t="inlineStr">
        <is>
          <t>AttackSpeed</t>
        </is>
      </c>
      <c r="B49" s="10" t="inlineStr">
        <is>
          <t>hits/s</t>
        </is>
      </c>
      <c r="C49" s="10" t="n">
        <v>0.5</v>
      </c>
      <c r="D49" s="10" t="n">
        <v>0</v>
      </c>
      <c r="E49" s="10" t="n">
        <v>0</v>
      </c>
      <c r="F49" s="10" t="n">
        <v>0.012</v>
      </c>
      <c r="G49" s="10" t="n">
        <v>0</v>
      </c>
      <c r="H49" s="10" t="n">
        <v>0</v>
      </c>
      <c r="I49" s="10" t="n">
        <v>0</v>
      </c>
      <c r="J49" s="13" t="n">
        <v>0.5600000000000001</v>
      </c>
      <c r="K49" s="13" t="n">
        <v>0.5600000000000001</v>
      </c>
    </row>
    <row r="50">
      <c r="A50" s="10" t="inlineStr">
        <is>
          <t>CritChance</t>
        </is>
      </c>
      <c r="B50" s="10" t="inlineStr">
        <is>
          <t>%</t>
        </is>
      </c>
      <c r="C50" s="10" t="n">
        <v>3</v>
      </c>
      <c r="D50" s="10" t="n">
        <v>0</v>
      </c>
      <c r="E50" s="10" t="n">
        <v>0</v>
      </c>
      <c r="F50" s="10" t="n">
        <v>0.03</v>
      </c>
      <c r="G50" s="10" t="n">
        <v>0</v>
      </c>
      <c r="H50" s="10" t="n">
        <v>0</v>
      </c>
      <c r="I50" s="10" t="n">
        <v>0.2</v>
      </c>
      <c r="J50" s="13" t="n">
        <v>3.95</v>
      </c>
      <c r="K50" s="13" t="n">
        <v>3.95</v>
      </c>
    </row>
    <row r="51">
      <c r="A51" s="10" t="inlineStr">
        <is>
          <t>CritDamage</t>
        </is>
      </c>
      <c r="B51" s="10" t="inlineStr">
        <is>
          <t>%</t>
        </is>
      </c>
      <c r="C51" s="10" t="n">
        <v>150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3" t="n">
        <v>150</v>
      </c>
      <c r="K51" s="13" t="n">
        <v>150</v>
      </c>
    </row>
    <row r="52">
      <c r="A52" s="10" t="inlineStr">
        <is>
          <t>MoveSpeed</t>
        </is>
      </c>
      <c r="B52" s="10" t="inlineStr">
        <is>
          <t>m/s</t>
        </is>
      </c>
      <c r="C52" s="10" t="n">
        <v>2.5</v>
      </c>
      <c r="D52" s="10" t="n">
        <v>0</v>
      </c>
      <c r="E52" s="10" t="n">
        <v>0</v>
      </c>
      <c r="F52" s="10" t="n">
        <v>0.012</v>
      </c>
      <c r="G52" s="10" t="n">
        <v>0</v>
      </c>
      <c r="H52" s="10" t="n">
        <v>0</v>
      </c>
      <c r="I52" s="10" t="n">
        <v>0</v>
      </c>
      <c r="J52" s="13" t="n">
        <v>2.56</v>
      </c>
      <c r="K52" s="13" t="n">
        <v>2.56</v>
      </c>
    </row>
    <row r="53">
      <c r="A53" s="10" t="inlineStr">
        <is>
          <t>HPRegen</t>
        </is>
      </c>
      <c r="B53" s="10" t="inlineStr">
        <is>
          <t>HP/s</t>
        </is>
      </c>
      <c r="C53" s="10" t="n">
        <v>0.3</v>
      </c>
      <c r="D53" s="10" t="n">
        <v>0.05</v>
      </c>
      <c r="E53" s="10" t="n">
        <v>0</v>
      </c>
      <c r="F53" s="10" t="n">
        <v>0</v>
      </c>
      <c r="G53" s="10" t="n">
        <v>0</v>
      </c>
      <c r="H53" s="10" t="n">
        <v>0.05</v>
      </c>
      <c r="I53" s="10" t="n">
        <v>0</v>
      </c>
      <c r="J53" s="13" t="n">
        <v>0.6</v>
      </c>
      <c r="K53" s="13" t="n">
        <v>1.55</v>
      </c>
    </row>
    <row r="54">
      <c r="A54" s="10" t="inlineStr">
        <is>
          <t>ManaRegen</t>
        </is>
      </c>
      <c r="B54" s="10" t="inlineStr">
        <is>
          <t>Mana/s</t>
        </is>
      </c>
      <c r="C54" s="10" t="n">
        <v>1.5</v>
      </c>
      <c r="D54" s="10" t="n">
        <v>0.1</v>
      </c>
      <c r="E54" s="10" t="n">
        <v>0</v>
      </c>
      <c r="F54" s="10" t="n">
        <v>0</v>
      </c>
      <c r="G54" s="10" t="n">
        <v>0.1</v>
      </c>
      <c r="H54" s="10" t="n">
        <v>0</v>
      </c>
      <c r="I54" s="10" t="n">
        <v>0</v>
      </c>
      <c r="J54" s="13" t="n">
        <v>3</v>
      </c>
      <c r="K54" s="13" t="n">
        <v>4.9</v>
      </c>
    </row>
    <row r="55">
      <c r="A55" s="10" t="inlineStr">
        <is>
          <t>Evasion</t>
        </is>
      </c>
      <c r="B55" s="10" t="inlineStr">
        <is>
          <t>%</t>
        </is>
      </c>
      <c r="C55" s="10" t="n">
        <v>0</v>
      </c>
      <c r="D55" s="10" t="n">
        <v>0</v>
      </c>
      <c r="E55" s="10" t="n">
        <v>0</v>
      </c>
      <c r="F55" s="10" t="n">
        <v>0.15</v>
      </c>
      <c r="G55" s="10" t="n">
        <v>0</v>
      </c>
      <c r="H55" s="10" t="n">
        <v>0</v>
      </c>
      <c r="I55" s="10" t="n">
        <v>0.05</v>
      </c>
      <c r="J55" s="13" t="n">
        <v>0.95</v>
      </c>
      <c r="K55" s="13" t="n">
        <v>0.95</v>
      </c>
    </row>
    <row r="56">
      <c r="A56" s="10" t="inlineStr">
        <is>
          <t>LifeSteal</t>
        </is>
      </c>
      <c r="B56" s="10" t="inlineStr">
        <is>
          <t>%</t>
        </is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3" t="n">
        <v>0</v>
      </c>
      <c r="K56" s="13" t="n">
        <v>0</v>
      </c>
    </row>
    <row r="57">
      <c r="A57" s="10" t="inlineStr">
        <is>
          <t>CrowdControlResist</t>
        </is>
      </c>
      <c r="B57" s="10" t="inlineStr">
        <is>
          <t>%</t>
        </is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3" t="n">
        <v>0</v>
      </c>
      <c r="K57" s="13" t="n">
        <v>0</v>
      </c>
    </row>
    <row r="58">
      <c r="A58" s="10" t="inlineStr">
        <is>
          <t>AttackRange</t>
        </is>
      </c>
      <c r="B58" s="10" t="inlineStr">
        <is>
          <t>m</t>
        </is>
      </c>
      <c r="C58" s="10" t="n">
        <v>8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3" t="n">
        <v>8</v>
      </c>
      <c r="K58" s="13" t="n">
        <v>8</v>
      </c>
    </row>
    <row r="60">
      <c r="A60" s="31" t="inlineStr">
        <is>
          <t>TANK</t>
        </is>
      </c>
      <c r="C60" s="32" t="inlineStr">
        <is>
          <t>Primary: STR=10  DEX=4  INT=3  VIT=18  LUK=2</t>
        </is>
      </c>
    </row>
    <row r="61">
      <c r="A61" s="6" t="inlineStr">
        <is>
          <t>Stat</t>
        </is>
      </c>
      <c r="B61" s="6" t="inlineStr">
        <is>
          <t>Đơn vị</t>
        </is>
      </c>
      <c r="C61" s="6" t="inlineStr">
        <is>
          <t>base</t>
        </is>
      </c>
      <c r="D61" s="6" t="inlineStr">
        <is>
          <t>perLevel</t>
        </is>
      </c>
      <c r="E61" s="6" t="inlineStr">
        <is>
          <t>STR</t>
        </is>
      </c>
      <c r="F61" s="6" t="inlineStr">
        <is>
          <t>DEX</t>
        </is>
      </c>
      <c r="G61" s="6" t="inlineStr">
        <is>
          <t>INT</t>
        </is>
      </c>
      <c r="H61" s="6" t="inlineStr">
        <is>
          <t>VIT</t>
        </is>
      </c>
      <c r="I61" s="6" t="inlineStr">
        <is>
          <t>LUK</t>
        </is>
      </c>
      <c r="J61" s="6" t="inlineStr">
        <is>
          <t>Giá trị Lv1</t>
        </is>
      </c>
      <c r="K61" s="6" t="inlineStr">
        <is>
          <t>Giá trị Lv20</t>
        </is>
      </c>
    </row>
    <row r="62">
      <c r="A62" s="10" t="inlineStr">
        <is>
          <t>MaxHP</t>
        </is>
      </c>
      <c r="B62" s="10" t="inlineStr">
        <is>
          <t>HP</t>
        </is>
      </c>
      <c r="C62" s="10" t="n">
        <v>80</v>
      </c>
      <c r="D62" s="10" t="n">
        <v>12</v>
      </c>
      <c r="E62" s="10" t="n">
        <v>3</v>
      </c>
      <c r="F62" s="10" t="n">
        <v>0</v>
      </c>
      <c r="G62" s="10" t="n">
        <v>0</v>
      </c>
      <c r="H62" s="10" t="n">
        <v>20</v>
      </c>
      <c r="I62" s="10" t="n">
        <v>0</v>
      </c>
      <c r="J62" s="13" t="n">
        <v>482</v>
      </c>
      <c r="K62" s="13" t="n">
        <v>710</v>
      </c>
    </row>
    <row r="63">
      <c r="A63" s="10" t="inlineStr">
        <is>
          <t>MaxMana</t>
        </is>
      </c>
      <c r="B63" s="10" t="inlineStr">
        <is>
          <t>Mana</t>
        </is>
      </c>
      <c r="C63" s="10" t="n">
        <v>15</v>
      </c>
      <c r="D63" s="10" t="n">
        <v>1</v>
      </c>
      <c r="E63" s="10" t="n">
        <v>0</v>
      </c>
      <c r="F63" s="10" t="n">
        <v>0</v>
      </c>
      <c r="G63" s="10" t="n">
        <v>4</v>
      </c>
      <c r="H63" s="10" t="n">
        <v>0.5</v>
      </c>
      <c r="I63" s="10" t="n">
        <v>0</v>
      </c>
      <c r="J63" s="13" t="n">
        <v>37</v>
      </c>
      <c r="K63" s="13" t="n">
        <v>56</v>
      </c>
    </row>
    <row r="64">
      <c r="A64" s="10" t="inlineStr">
        <is>
          <t>PhysicalDamage</t>
        </is>
      </c>
      <c r="B64" s="10" t="inlineStr">
        <is>
          <t>dmg/hit</t>
        </is>
      </c>
      <c r="C64" s="10" t="n">
        <v>0</v>
      </c>
      <c r="D64" s="10" t="n">
        <v>0.8</v>
      </c>
      <c r="E64" s="10" t="n">
        <v>1.8</v>
      </c>
      <c r="F64" s="10" t="n">
        <v>0.3</v>
      </c>
      <c r="G64" s="10" t="n">
        <v>0</v>
      </c>
      <c r="H64" s="10" t="n">
        <v>0</v>
      </c>
      <c r="I64" s="10" t="n">
        <v>0</v>
      </c>
      <c r="J64" s="13" t="n">
        <v>20</v>
      </c>
      <c r="K64" s="13" t="n">
        <v>35.2</v>
      </c>
    </row>
    <row r="65">
      <c r="A65" s="10" t="inlineStr">
        <is>
          <t>MagicDamage</t>
        </is>
      </c>
      <c r="B65" s="10" t="inlineStr">
        <is>
          <t>dmg/hit</t>
        </is>
      </c>
      <c r="C65" s="10" t="n">
        <v>0</v>
      </c>
      <c r="D65" s="10" t="n">
        <v>0.3</v>
      </c>
      <c r="E65" s="10" t="n">
        <v>0</v>
      </c>
      <c r="F65" s="10" t="n">
        <v>0</v>
      </c>
      <c r="G65" s="10" t="n">
        <v>0.8</v>
      </c>
      <c r="H65" s="10" t="n">
        <v>0</v>
      </c>
      <c r="I65" s="10" t="n">
        <v>0.1</v>
      </c>
      <c r="J65" s="13" t="n">
        <v>2.9</v>
      </c>
      <c r="K65" s="13" t="n">
        <v>8.6</v>
      </c>
    </row>
    <row r="66">
      <c r="A66" s="10" t="inlineStr">
        <is>
          <t>Defense</t>
        </is>
      </c>
      <c r="B66" s="10" t="inlineStr">
        <is>
          <t>flat</t>
        </is>
      </c>
      <c r="C66" s="10" t="n">
        <v>5</v>
      </c>
      <c r="D66" s="10" t="n">
        <v>1</v>
      </c>
      <c r="E66" s="10" t="n">
        <v>0.5</v>
      </c>
      <c r="F66" s="10" t="n">
        <v>0</v>
      </c>
      <c r="G66" s="10" t="n">
        <v>0</v>
      </c>
      <c r="H66" s="10" t="n">
        <v>1.8</v>
      </c>
      <c r="I66" s="10" t="n">
        <v>0</v>
      </c>
      <c r="J66" s="13" t="n">
        <v>43.4</v>
      </c>
      <c r="K66" s="13" t="n">
        <v>62.4</v>
      </c>
    </row>
    <row r="67">
      <c r="A67" s="10" t="inlineStr">
        <is>
          <t>MagicDefense</t>
        </is>
      </c>
      <c r="B67" s="10" t="inlineStr">
        <is>
          <t>flat</t>
        </is>
      </c>
      <c r="C67" s="10" t="n">
        <v>5</v>
      </c>
      <c r="D67" s="10" t="n">
        <v>0.8</v>
      </c>
      <c r="E67" s="10" t="n">
        <v>0</v>
      </c>
      <c r="F67" s="10" t="n">
        <v>0</v>
      </c>
      <c r="G67" s="10" t="n">
        <v>0.8</v>
      </c>
      <c r="H67" s="10" t="n">
        <v>1.5</v>
      </c>
      <c r="I67" s="10" t="n">
        <v>0</v>
      </c>
      <c r="J67" s="13" t="n">
        <v>35.2</v>
      </c>
      <c r="K67" s="13" t="n">
        <v>50.4</v>
      </c>
    </row>
    <row r="68">
      <c r="A68" s="10" t="inlineStr">
        <is>
          <t>AttackSpeed</t>
        </is>
      </c>
      <c r="B68" s="10" t="inlineStr">
        <is>
          <t>hits/s</t>
        </is>
      </c>
      <c r="C68" s="10" t="n">
        <v>0.5</v>
      </c>
      <c r="D68" s="10" t="n">
        <v>0</v>
      </c>
      <c r="E68" s="10" t="n">
        <v>0</v>
      </c>
      <c r="F68" s="10" t="n">
        <v>0.01</v>
      </c>
      <c r="G68" s="10" t="n">
        <v>0</v>
      </c>
      <c r="H68" s="10" t="n">
        <v>0</v>
      </c>
      <c r="I68" s="10" t="n">
        <v>0</v>
      </c>
      <c r="J68" s="13" t="n">
        <v>0.54</v>
      </c>
      <c r="K68" s="13" t="n">
        <v>0.54</v>
      </c>
    </row>
    <row r="69">
      <c r="A69" s="10" t="inlineStr">
        <is>
          <t>CritChance</t>
        </is>
      </c>
      <c r="B69" s="10" t="inlineStr">
        <is>
          <t>%</t>
        </is>
      </c>
      <c r="C69" s="10" t="n">
        <v>2</v>
      </c>
      <c r="D69" s="10" t="n">
        <v>0</v>
      </c>
      <c r="E69" s="10" t="n">
        <v>0</v>
      </c>
      <c r="F69" s="10" t="n">
        <v>0.02</v>
      </c>
      <c r="G69" s="10" t="n">
        <v>0</v>
      </c>
      <c r="H69" s="10" t="n">
        <v>0</v>
      </c>
      <c r="I69" s="10" t="n">
        <v>0.15</v>
      </c>
      <c r="J69" s="13" t="n">
        <v>2.38</v>
      </c>
      <c r="K69" s="13" t="n">
        <v>2.38</v>
      </c>
    </row>
    <row r="70">
      <c r="A70" s="10" t="inlineStr">
        <is>
          <t>CritDamage</t>
        </is>
      </c>
      <c r="B70" s="10" t="inlineStr">
        <is>
          <t>%</t>
        </is>
      </c>
      <c r="C70" s="10" t="n">
        <v>130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0.3</v>
      </c>
      <c r="J70" s="13" t="n">
        <v>130.6</v>
      </c>
      <c r="K70" s="13" t="n">
        <v>130.6</v>
      </c>
    </row>
    <row r="71">
      <c r="A71" s="10" t="inlineStr">
        <is>
          <t>MoveSpeed</t>
        </is>
      </c>
      <c r="B71" s="10" t="inlineStr">
        <is>
          <t>m/s</t>
        </is>
      </c>
      <c r="C71" s="10" t="n">
        <v>1.8</v>
      </c>
      <c r="D71" s="10" t="n">
        <v>0</v>
      </c>
      <c r="E71" s="10" t="n">
        <v>0</v>
      </c>
      <c r="F71" s="10" t="n">
        <v>0.01</v>
      </c>
      <c r="G71" s="10" t="n">
        <v>0</v>
      </c>
      <c r="H71" s="10" t="n">
        <v>0</v>
      </c>
      <c r="I71" s="10" t="n">
        <v>0</v>
      </c>
      <c r="J71" s="13" t="n">
        <v>1.84</v>
      </c>
      <c r="K71" s="13" t="n">
        <v>1.84</v>
      </c>
    </row>
    <row r="72">
      <c r="A72" s="10" t="inlineStr">
        <is>
          <t>HPRegen</t>
        </is>
      </c>
      <c r="B72" s="10" t="inlineStr">
        <is>
          <t>HP/s</t>
        </is>
      </c>
      <c r="C72" s="10" t="n">
        <v>1</v>
      </c>
      <c r="D72" s="10" t="n">
        <v>0.15</v>
      </c>
      <c r="E72" s="10" t="n">
        <v>0</v>
      </c>
      <c r="F72" s="10" t="n">
        <v>0</v>
      </c>
      <c r="G72" s="10" t="n">
        <v>0</v>
      </c>
      <c r="H72" s="10" t="n">
        <v>0.15</v>
      </c>
      <c r="I72" s="10" t="n">
        <v>0</v>
      </c>
      <c r="J72" s="13" t="n">
        <v>3.85</v>
      </c>
      <c r="K72" s="13" t="n">
        <v>6.7</v>
      </c>
    </row>
    <row r="73">
      <c r="A73" s="10" t="inlineStr">
        <is>
          <t>ManaRegen</t>
        </is>
      </c>
      <c r="B73" s="10" t="inlineStr">
        <is>
          <t>Mana/s</t>
        </is>
      </c>
      <c r="C73" s="10" t="n">
        <v>0.3</v>
      </c>
      <c r="D73" s="10" t="n">
        <v>0.03</v>
      </c>
      <c r="E73" s="10" t="n">
        <v>0</v>
      </c>
      <c r="F73" s="10" t="n">
        <v>0</v>
      </c>
      <c r="G73" s="10" t="n">
        <v>0.03</v>
      </c>
      <c r="H73" s="10" t="n">
        <v>0</v>
      </c>
      <c r="I73" s="10" t="n">
        <v>0</v>
      </c>
      <c r="J73" s="13" t="n">
        <v>0.42</v>
      </c>
      <c r="K73" s="13" t="n">
        <v>0.99</v>
      </c>
    </row>
    <row r="74">
      <c r="A74" s="10" t="inlineStr">
        <is>
          <t>Evasion</t>
        </is>
      </c>
      <c r="B74" s="10" t="inlineStr">
        <is>
          <t>%</t>
        </is>
      </c>
      <c r="C74" s="10" t="n">
        <v>0</v>
      </c>
      <c r="D74" s="10" t="n">
        <v>0</v>
      </c>
      <c r="E74" s="10" t="n">
        <v>0</v>
      </c>
      <c r="F74" s="10" t="n">
        <v>0.05</v>
      </c>
      <c r="G74" s="10" t="n">
        <v>0</v>
      </c>
      <c r="H74" s="10" t="n">
        <v>0</v>
      </c>
      <c r="I74" s="10" t="n">
        <v>0.02</v>
      </c>
      <c r="J74" s="13" t="n">
        <v>0.24</v>
      </c>
      <c r="K74" s="13" t="n">
        <v>0.24</v>
      </c>
    </row>
    <row r="75">
      <c r="A75" s="10" t="inlineStr">
        <is>
          <t>LifeSteal</t>
        </is>
      </c>
      <c r="B75" s="10" t="inlineStr">
        <is>
          <t>%</t>
        </is>
      </c>
      <c r="C75" s="10" t="n">
        <v>0</v>
      </c>
      <c r="D75" s="10" t="n">
        <v>0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  <c r="J75" s="13" t="n">
        <v>0</v>
      </c>
      <c r="K75" s="13" t="n">
        <v>0</v>
      </c>
    </row>
    <row r="76">
      <c r="A76" s="10" t="inlineStr">
        <is>
          <t>CrowdControlResist</t>
        </is>
      </c>
      <c r="B76" s="10" t="inlineStr">
        <is>
          <t>%</t>
        </is>
      </c>
      <c r="C76" s="10" t="n">
        <v>30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3" t="n">
        <v>30</v>
      </c>
      <c r="K76" s="13" t="n">
        <v>30</v>
      </c>
    </row>
    <row r="77">
      <c r="A77" s="10" t="inlineStr">
        <is>
          <t>AttackRange</t>
        </is>
      </c>
      <c r="B77" s="10" t="inlineStr">
        <is>
          <t>m</t>
        </is>
      </c>
      <c r="C77" s="10" t="n">
        <v>1.8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3" t="n">
        <v>1.8</v>
      </c>
      <c r="K77" s="13" t="n">
        <v>1.8</v>
      </c>
    </row>
    <row r="79">
      <c r="A79" s="31" t="inlineStr">
        <is>
          <t>FAST SWARM</t>
        </is>
      </c>
      <c r="C79" s="32" t="inlineStr">
        <is>
          <t>Primary: STR=5  DEX=16  INT=2  VIT=4  LUK=6</t>
        </is>
      </c>
    </row>
    <row r="80">
      <c r="A80" s="6" t="inlineStr">
        <is>
          <t>Stat</t>
        </is>
      </c>
      <c r="B80" s="6" t="inlineStr">
        <is>
          <t>Đơn vị</t>
        </is>
      </c>
      <c r="C80" s="6" t="inlineStr">
        <is>
          <t>base</t>
        </is>
      </c>
      <c r="D80" s="6" t="inlineStr">
        <is>
          <t>perLevel</t>
        </is>
      </c>
      <c r="E80" s="6" t="inlineStr">
        <is>
          <t>STR</t>
        </is>
      </c>
      <c r="F80" s="6" t="inlineStr">
        <is>
          <t>DEX</t>
        </is>
      </c>
      <c r="G80" s="6" t="inlineStr">
        <is>
          <t>INT</t>
        </is>
      </c>
      <c r="H80" s="6" t="inlineStr">
        <is>
          <t>VIT</t>
        </is>
      </c>
      <c r="I80" s="6" t="inlineStr">
        <is>
          <t>LUK</t>
        </is>
      </c>
      <c r="J80" s="6" t="inlineStr">
        <is>
          <t>Giá trị Lv1</t>
        </is>
      </c>
      <c r="K80" s="6" t="inlineStr">
        <is>
          <t>Giá trị Lv20</t>
        </is>
      </c>
    </row>
    <row r="81">
      <c r="A81" s="10" t="inlineStr">
        <is>
          <t>MaxHP</t>
        </is>
      </c>
      <c r="B81" s="10" t="inlineStr">
        <is>
          <t>HP</t>
        </is>
      </c>
      <c r="C81" s="10" t="n">
        <v>15</v>
      </c>
      <c r="D81" s="10" t="n">
        <v>2.5</v>
      </c>
      <c r="E81" s="10" t="n">
        <v>0.5</v>
      </c>
      <c r="F81" s="10" t="n">
        <v>0</v>
      </c>
      <c r="G81" s="10" t="n">
        <v>0</v>
      </c>
      <c r="H81" s="10" t="n">
        <v>6</v>
      </c>
      <c r="I81" s="10" t="n">
        <v>0</v>
      </c>
      <c r="J81" s="13" t="n">
        <v>44</v>
      </c>
      <c r="K81" s="13" t="n">
        <v>91.5</v>
      </c>
    </row>
    <row r="82">
      <c r="A82" s="10" t="inlineStr">
        <is>
          <t>MaxMana</t>
        </is>
      </c>
      <c r="B82" s="10" t="inlineStr">
        <is>
          <t>Mana</t>
        </is>
      </c>
      <c r="C82" s="10" t="n">
        <v>5</v>
      </c>
      <c r="D82" s="10" t="n">
        <v>0.5</v>
      </c>
      <c r="E82" s="10" t="n">
        <v>0</v>
      </c>
      <c r="F82" s="10" t="n">
        <v>0</v>
      </c>
      <c r="G82" s="10" t="n">
        <v>4</v>
      </c>
      <c r="H82" s="10" t="n">
        <v>0</v>
      </c>
      <c r="I82" s="10" t="n">
        <v>0</v>
      </c>
      <c r="J82" s="13" t="n">
        <v>13.5</v>
      </c>
      <c r="K82" s="13" t="n">
        <v>23</v>
      </c>
    </row>
    <row r="83">
      <c r="A83" s="10" t="inlineStr">
        <is>
          <t>PhysicalDamage</t>
        </is>
      </c>
      <c r="B83" s="10" t="inlineStr">
        <is>
          <t>dmg/hit</t>
        </is>
      </c>
      <c r="C83" s="10" t="n">
        <v>0</v>
      </c>
      <c r="D83" s="10" t="n">
        <v>0.7</v>
      </c>
      <c r="E83" s="10" t="n">
        <v>1.5</v>
      </c>
      <c r="F83" s="10" t="n">
        <v>0.6</v>
      </c>
      <c r="G83" s="10" t="n">
        <v>0</v>
      </c>
      <c r="H83" s="10" t="n">
        <v>0</v>
      </c>
      <c r="I83" s="10" t="n">
        <v>0</v>
      </c>
      <c r="J83" s="13" t="n">
        <v>17.8</v>
      </c>
      <c r="K83" s="13" t="n">
        <v>31.1</v>
      </c>
    </row>
    <row r="84">
      <c r="A84" s="10" t="inlineStr">
        <is>
          <t>MagicDamage</t>
        </is>
      </c>
      <c r="B84" s="10" t="inlineStr">
        <is>
          <t>dmg/hit</t>
        </is>
      </c>
      <c r="C84" s="10" t="n">
        <v>0</v>
      </c>
      <c r="D84" s="10" t="n">
        <v>0.2</v>
      </c>
      <c r="E84" s="10" t="n">
        <v>0</v>
      </c>
      <c r="F84" s="10" t="n">
        <v>0</v>
      </c>
      <c r="G84" s="10" t="n">
        <v>0.5</v>
      </c>
      <c r="H84" s="10" t="n">
        <v>0</v>
      </c>
      <c r="I84" s="10" t="n">
        <v>0.1</v>
      </c>
      <c r="J84" s="13" t="n">
        <v>1.8</v>
      </c>
      <c r="K84" s="13" t="n">
        <v>5.6</v>
      </c>
    </row>
    <row r="85">
      <c r="A85" s="10" t="inlineStr">
        <is>
          <t>Defense</t>
        </is>
      </c>
      <c r="B85" s="10" t="inlineStr">
        <is>
          <t>flat</t>
        </is>
      </c>
      <c r="C85" s="10" t="n">
        <v>0</v>
      </c>
      <c r="D85" s="10" t="n">
        <v>0.2</v>
      </c>
      <c r="E85" s="10" t="n">
        <v>0.1</v>
      </c>
      <c r="F85" s="10" t="n">
        <v>0</v>
      </c>
      <c r="G85" s="10" t="n">
        <v>0</v>
      </c>
      <c r="H85" s="10" t="n">
        <v>0.7</v>
      </c>
      <c r="I85" s="10" t="n">
        <v>0</v>
      </c>
      <c r="J85" s="13" t="n">
        <v>3.5</v>
      </c>
      <c r="K85" s="13" t="n">
        <v>7.3</v>
      </c>
    </row>
    <row r="86">
      <c r="A86" s="10" t="inlineStr">
        <is>
          <t>MagicDefense</t>
        </is>
      </c>
      <c r="B86" s="10" t="inlineStr">
        <is>
          <t>flat</t>
        </is>
      </c>
      <c r="C86" s="10" t="n">
        <v>0</v>
      </c>
      <c r="D86" s="10" t="n">
        <v>0.2</v>
      </c>
      <c r="E86" s="10" t="n">
        <v>0</v>
      </c>
      <c r="F86" s="10" t="n">
        <v>0</v>
      </c>
      <c r="G86" s="10" t="n">
        <v>0.4</v>
      </c>
      <c r="H86" s="10" t="n">
        <v>0.3</v>
      </c>
      <c r="I86" s="10" t="n">
        <v>0</v>
      </c>
      <c r="J86" s="13" t="n">
        <v>2.2</v>
      </c>
      <c r="K86" s="13" t="n">
        <v>6</v>
      </c>
    </row>
    <row r="87">
      <c r="A87" s="10" t="inlineStr">
        <is>
          <t>AttackSpeed</t>
        </is>
      </c>
      <c r="B87" s="10" t="inlineStr">
        <is>
          <t>hits/s</t>
        </is>
      </c>
      <c r="C87" s="10" t="n">
        <v>0.9</v>
      </c>
      <c r="D87" s="10" t="n">
        <v>0</v>
      </c>
      <c r="E87" s="10" t="n">
        <v>0</v>
      </c>
      <c r="F87" s="10" t="n">
        <v>0.025</v>
      </c>
      <c r="G87" s="10" t="n">
        <v>0</v>
      </c>
      <c r="H87" s="10" t="n">
        <v>0</v>
      </c>
      <c r="I87" s="10" t="n">
        <v>0</v>
      </c>
      <c r="J87" s="13" t="n">
        <v>1.3</v>
      </c>
      <c r="K87" s="13" t="n">
        <v>1.3</v>
      </c>
    </row>
    <row r="88">
      <c r="A88" s="10" t="inlineStr">
        <is>
          <t>CritChance</t>
        </is>
      </c>
      <c r="B88" s="10" t="inlineStr">
        <is>
          <t>%</t>
        </is>
      </c>
      <c r="C88" s="10" t="n">
        <v>4</v>
      </c>
      <c r="D88" s="10" t="n">
        <v>0</v>
      </c>
      <c r="E88" s="10" t="n">
        <v>0</v>
      </c>
      <c r="F88" s="10" t="n">
        <v>0.04</v>
      </c>
      <c r="G88" s="10" t="n">
        <v>0</v>
      </c>
      <c r="H88" s="10" t="n">
        <v>0</v>
      </c>
      <c r="I88" s="10" t="n">
        <v>0.25</v>
      </c>
      <c r="J88" s="13" t="n">
        <v>6.14</v>
      </c>
      <c r="K88" s="13" t="n">
        <v>6.14</v>
      </c>
    </row>
    <row r="89">
      <c r="A89" s="10" t="inlineStr">
        <is>
          <t>CritDamage</t>
        </is>
      </c>
      <c r="B89" s="10" t="inlineStr">
        <is>
          <t>%</t>
        </is>
      </c>
      <c r="C89" s="10" t="n">
        <v>150</v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  <c r="J89" s="13" t="n">
        <v>150</v>
      </c>
      <c r="K89" s="13" t="n">
        <v>150</v>
      </c>
    </row>
    <row r="90">
      <c r="A90" s="10" t="inlineStr">
        <is>
          <t>MoveSpeed</t>
        </is>
      </c>
      <c r="B90" s="10" t="inlineStr">
        <is>
          <t>m/s</t>
        </is>
      </c>
      <c r="C90" s="10" t="n">
        <v>4.5</v>
      </c>
      <c r="D90" s="10" t="n">
        <v>0</v>
      </c>
      <c r="E90" s="10" t="n">
        <v>0</v>
      </c>
      <c r="F90" s="10" t="n">
        <v>0.05</v>
      </c>
      <c r="G90" s="10" t="n">
        <v>0</v>
      </c>
      <c r="H90" s="10" t="n">
        <v>0</v>
      </c>
      <c r="I90" s="10" t="n">
        <v>0</v>
      </c>
      <c r="J90" s="13" t="n">
        <v>5.3</v>
      </c>
      <c r="K90" s="13" t="n">
        <v>5.3</v>
      </c>
    </row>
    <row r="91">
      <c r="A91" s="10" t="inlineStr">
        <is>
          <t>HPRegen</t>
        </is>
      </c>
      <c r="B91" s="10" t="inlineStr">
        <is>
          <t>HP/s</t>
        </is>
      </c>
      <c r="C91" s="10" t="n">
        <v>0.3</v>
      </c>
      <c r="D91" s="10" t="n">
        <v>0.05</v>
      </c>
      <c r="E91" s="10" t="n">
        <v>0</v>
      </c>
      <c r="F91" s="10" t="n">
        <v>0</v>
      </c>
      <c r="G91" s="10" t="n">
        <v>0</v>
      </c>
      <c r="H91" s="10" t="n">
        <v>0.05</v>
      </c>
      <c r="I91" s="10" t="n">
        <v>0</v>
      </c>
      <c r="J91" s="13" t="n">
        <v>0.55</v>
      </c>
      <c r="K91" s="13" t="n">
        <v>1.5</v>
      </c>
    </row>
    <row r="92">
      <c r="A92" s="10" t="inlineStr">
        <is>
          <t>ManaRegen</t>
        </is>
      </c>
      <c r="B92" s="10" t="inlineStr">
        <is>
          <t>Mana/s</t>
        </is>
      </c>
      <c r="C92" s="10" t="n">
        <v>0.2</v>
      </c>
      <c r="D92" s="10" t="n">
        <v>0.03</v>
      </c>
      <c r="E92" s="10" t="n">
        <v>0</v>
      </c>
      <c r="F92" s="10" t="n">
        <v>0</v>
      </c>
      <c r="G92" s="10" t="n">
        <v>0.03</v>
      </c>
      <c r="H92" s="10" t="n">
        <v>0</v>
      </c>
      <c r="I92" s="10" t="n">
        <v>0</v>
      </c>
      <c r="J92" s="13" t="n">
        <v>0.29</v>
      </c>
      <c r="K92" s="13" t="n">
        <v>0.86</v>
      </c>
    </row>
    <row r="93">
      <c r="A93" s="10" t="inlineStr">
        <is>
          <t>Evasion</t>
        </is>
      </c>
      <c r="B93" s="10" t="inlineStr">
        <is>
          <t>%</t>
        </is>
      </c>
      <c r="C93" s="10" t="n">
        <v>0</v>
      </c>
      <c r="D93" s="10" t="n">
        <v>0</v>
      </c>
      <c r="E93" s="10" t="n">
        <v>0</v>
      </c>
      <c r="F93" s="10" t="n">
        <v>0.35</v>
      </c>
      <c r="G93" s="10" t="n">
        <v>0</v>
      </c>
      <c r="H93" s="10" t="n">
        <v>0</v>
      </c>
      <c r="I93" s="10" t="n">
        <v>0.15</v>
      </c>
      <c r="J93" s="13" t="n">
        <v>6.5</v>
      </c>
      <c r="K93" s="13" t="n">
        <v>6.5</v>
      </c>
    </row>
    <row r="94">
      <c r="A94" s="10" t="inlineStr">
        <is>
          <t>LifeSteal</t>
        </is>
      </c>
      <c r="B94" s="10" t="inlineStr">
        <is>
          <t>%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3" t="n">
        <v>0</v>
      </c>
      <c r="K94" s="13" t="n">
        <v>0</v>
      </c>
    </row>
    <row r="95">
      <c r="A95" s="10" t="inlineStr">
        <is>
          <t>CrowdControlResist</t>
        </is>
      </c>
      <c r="B95" s="10" t="inlineStr">
        <is>
          <t>%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3" t="n">
        <v>0</v>
      </c>
      <c r="K95" s="13" t="n">
        <v>0</v>
      </c>
    </row>
    <row r="96">
      <c r="A96" s="10" t="inlineStr">
        <is>
          <t>AttackRange</t>
        </is>
      </c>
      <c r="B96" s="10" t="inlineStr">
        <is>
          <t>m</t>
        </is>
      </c>
      <c r="C96" s="10" t="n">
        <v>1.2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3" t="n">
        <v>1.2</v>
      </c>
      <c r="K96" s="13" t="n">
        <v>1.2</v>
      </c>
    </row>
    <row r="98">
      <c r="A98" s="31" t="inlineStr">
        <is>
          <t>ASSASSIN</t>
        </is>
      </c>
      <c r="C98" s="32" t="inlineStr">
        <is>
          <t>Primary: STR=7  DEX=14  INT=4  VIT=5  LUK=12</t>
        </is>
      </c>
    </row>
    <row r="99">
      <c r="A99" s="6" t="inlineStr">
        <is>
          <t>Stat</t>
        </is>
      </c>
      <c r="B99" s="6" t="inlineStr">
        <is>
          <t>Đơn vị</t>
        </is>
      </c>
      <c r="C99" s="6" t="inlineStr">
        <is>
          <t>base</t>
        </is>
      </c>
      <c r="D99" s="6" t="inlineStr">
        <is>
          <t>perLevel</t>
        </is>
      </c>
      <c r="E99" s="6" t="inlineStr">
        <is>
          <t>STR</t>
        </is>
      </c>
      <c r="F99" s="6" t="inlineStr">
        <is>
          <t>DEX</t>
        </is>
      </c>
      <c r="G99" s="6" t="inlineStr">
        <is>
          <t>INT</t>
        </is>
      </c>
      <c r="H99" s="6" t="inlineStr">
        <is>
          <t>VIT</t>
        </is>
      </c>
      <c r="I99" s="6" t="inlineStr">
        <is>
          <t>LUK</t>
        </is>
      </c>
      <c r="J99" s="6" t="inlineStr">
        <is>
          <t>Giá trị Lv1</t>
        </is>
      </c>
      <c r="K99" s="6" t="inlineStr">
        <is>
          <t>Giá trị Lv20</t>
        </is>
      </c>
    </row>
    <row r="100">
      <c r="A100" s="10" t="inlineStr">
        <is>
          <t>MaxHP</t>
        </is>
      </c>
      <c r="B100" s="10" t="inlineStr">
        <is>
          <t>HP</t>
        </is>
      </c>
      <c r="C100" s="10" t="n">
        <v>20</v>
      </c>
      <c r="D100" s="10" t="n">
        <v>3.5</v>
      </c>
      <c r="E100" s="10" t="n">
        <v>0.5</v>
      </c>
      <c r="F100" s="10" t="n">
        <v>0</v>
      </c>
      <c r="G100" s="10" t="n">
        <v>0</v>
      </c>
      <c r="H100" s="10" t="n">
        <v>7</v>
      </c>
      <c r="I100" s="10" t="n">
        <v>0</v>
      </c>
      <c r="J100" s="13" t="n">
        <v>62</v>
      </c>
      <c r="K100" s="13" t="n">
        <v>128.5</v>
      </c>
    </row>
    <row r="101">
      <c r="A101" s="10" t="inlineStr">
        <is>
          <t>MaxMana</t>
        </is>
      </c>
      <c r="B101" s="10" t="inlineStr">
        <is>
          <t>Mana</t>
        </is>
      </c>
      <c r="C101" s="10" t="n">
        <v>10</v>
      </c>
      <c r="D101" s="10" t="n">
        <v>1</v>
      </c>
      <c r="E101" s="10" t="n">
        <v>0</v>
      </c>
      <c r="F101" s="10" t="n">
        <v>0</v>
      </c>
      <c r="G101" s="10" t="n">
        <v>4</v>
      </c>
      <c r="H101" s="10" t="n">
        <v>0</v>
      </c>
      <c r="I101" s="10" t="n">
        <v>0</v>
      </c>
      <c r="J101" s="13" t="n">
        <v>27</v>
      </c>
      <c r="K101" s="13" t="n">
        <v>46</v>
      </c>
    </row>
    <row r="102">
      <c r="A102" s="10" t="inlineStr">
        <is>
          <t>PhysicalDamage</t>
        </is>
      </c>
      <c r="B102" s="10" t="inlineStr">
        <is>
          <t>dmg/hit</t>
        </is>
      </c>
      <c r="C102" s="10" t="n">
        <v>0</v>
      </c>
      <c r="D102" s="10" t="n">
        <v>1.3</v>
      </c>
      <c r="E102" s="10" t="n">
        <v>2</v>
      </c>
      <c r="F102" s="10" t="n">
        <v>1.4</v>
      </c>
      <c r="G102" s="10" t="n">
        <v>0</v>
      </c>
      <c r="H102" s="10" t="n">
        <v>0</v>
      </c>
      <c r="I102" s="10" t="n">
        <v>0</v>
      </c>
      <c r="J102" s="13" t="n">
        <v>34.9</v>
      </c>
      <c r="K102" s="13" t="n">
        <v>59.6</v>
      </c>
    </row>
    <row r="103">
      <c r="A103" s="10" t="inlineStr">
        <is>
          <t>MagicDamage</t>
        </is>
      </c>
      <c r="B103" s="10" t="inlineStr">
        <is>
          <t>dmg/hit</t>
        </is>
      </c>
      <c r="C103" s="10" t="n">
        <v>0</v>
      </c>
      <c r="D103" s="10" t="n">
        <v>0.3</v>
      </c>
      <c r="E103" s="10" t="n">
        <v>0</v>
      </c>
      <c r="F103" s="10" t="n">
        <v>0</v>
      </c>
      <c r="G103" s="10" t="n">
        <v>0.9</v>
      </c>
      <c r="H103" s="10" t="n">
        <v>0</v>
      </c>
      <c r="I103" s="10" t="n">
        <v>0.2</v>
      </c>
      <c r="J103" s="13" t="n">
        <v>6.3</v>
      </c>
      <c r="K103" s="13" t="n">
        <v>12</v>
      </c>
    </row>
    <row r="104">
      <c r="A104" s="10" t="inlineStr">
        <is>
          <t>Defense</t>
        </is>
      </c>
      <c r="B104" s="10" t="inlineStr">
        <is>
          <t>flat</t>
        </is>
      </c>
      <c r="C104" s="10" t="n">
        <v>0</v>
      </c>
      <c r="D104" s="10" t="n">
        <v>0.2</v>
      </c>
      <c r="E104" s="10" t="n">
        <v>0.1</v>
      </c>
      <c r="F104" s="10" t="n">
        <v>0</v>
      </c>
      <c r="G104" s="10" t="n">
        <v>0</v>
      </c>
      <c r="H104" s="10" t="n">
        <v>0.7</v>
      </c>
      <c r="I104" s="10" t="n">
        <v>0</v>
      </c>
      <c r="J104" s="13" t="n">
        <v>4.4</v>
      </c>
      <c r="K104" s="13" t="n">
        <v>8.199999999999999</v>
      </c>
    </row>
    <row r="105">
      <c r="A105" s="10" t="inlineStr">
        <is>
          <t>MagicDefense</t>
        </is>
      </c>
      <c r="B105" s="10" t="inlineStr">
        <is>
          <t>flat</t>
        </is>
      </c>
      <c r="C105" s="10" t="n">
        <v>0</v>
      </c>
      <c r="D105" s="10" t="n">
        <v>0.2</v>
      </c>
      <c r="E105" s="10" t="n">
        <v>0</v>
      </c>
      <c r="F105" s="10" t="n">
        <v>0</v>
      </c>
      <c r="G105" s="10" t="n">
        <v>0.6</v>
      </c>
      <c r="H105" s="10" t="n">
        <v>0.4</v>
      </c>
      <c r="I105" s="10" t="n">
        <v>0</v>
      </c>
      <c r="J105" s="13" t="n">
        <v>4.6</v>
      </c>
      <c r="K105" s="13" t="n">
        <v>8.4</v>
      </c>
    </row>
    <row r="106">
      <c r="A106" s="10" t="inlineStr">
        <is>
          <t>AttackSpeed</t>
        </is>
      </c>
      <c r="B106" s="10" t="inlineStr">
        <is>
          <t>hits/s</t>
        </is>
      </c>
      <c r="C106" s="10" t="n">
        <v>0.9</v>
      </c>
      <c r="D106" s="10" t="n">
        <v>0</v>
      </c>
      <c r="E106" s="10" t="n">
        <v>0</v>
      </c>
      <c r="F106" s="10" t="n">
        <v>0.028</v>
      </c>
      <c r="G106" s="10" t="n">
        <v>0</v>
      </c>
      <c r="H106" s="10" t="n">
        <v>0</v>
      </c>
      <c r="I106" s="10" t="n">
        <v>0</v>
      </c>
      <c r="J106" s="13" t="n">
        <v>1.29</v>
      </c>
      <c r="K106" s="13" t="n">
        <v>1.29</v>
      </c>
    </row>
    <row r="107">
      <c r="A107" s="10" t="inlineStr">
        <is>
          <t>CritChance</t>
        </is>
      </c>
      <c r="B107" s="10" t="inlineStr">
        <is>
          <t>%</t>
        </is>
      </c>
      <c r="C107" s="10" t="n">
        <v>8</v>
      </c>
      <c r="D107" s="10" t="n">
        <v>0</v>
      </c>
      <c r="E107" s="10" t="n">
        <v>0</v>
      </c>
      <c r="F107" s="10" t="n">
        <v>0.08</v>
      </c>
      <c r="G107" s="10" t="n">
        <v>0</v>
      </c>
      <c r="H107" s="10" t="n">
        <v>0</v>
      </c>
      <c r="I107" s="10" t="n">
        <v>0.6</v>
      </c>
      <c r="J107" s="13" t="n">
        <v>16.32</v>
      </c>
      <c r="K107" s="13" t="n">
        <v>16.32</v>
      </c>
    </row>
    <row r="108">
      <c r="A108" s="10" t="inlineStr">
        <is>
          <t>CritDamage</t>
        </is>
      </c>
      <c r="B108" s="10" t="inlineStr">
        <is>
          <t>%</t>
        </is>
      </c>
      <c r="C108" s="10" t="n">
        <v>170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1.2</v>
      </c>
      <c r="J108" s="13" t="n">
        <v>184.4</v>
      </c>
      <c r="K108" s="13" t="n">
        <v>184.4</v>
      </c>
    </row>
    <row r="109">
      <c r="A109" s="10" t="inlineStr">
        <is>
          <t>MoveSpeed</t>
        </is>
      </c>
      <c r="B109" s="10" t="inlineStr">
        <is>
          <t>m/s</t>
        </is>
      </c>
      <c r="C109" s="10" t="n">
        <v>3.6</v>
      </c>
      <c r="D109" s="10" t="n">
        <v>0</v>
      </c>
      <c r="E109" s="10" t="n">
        <v>0</v>
      </c>
      <c r="F109" s="10" t="n">
        <v>0.04</v>
      </c>
      <c r="G109" s="10" t="n">
        <v>0</v>
      </c>
      <c r="H109" s="10" t="n">
        <v>0</v>
      </c>
      <c r="I109" s="10" t="n">
        <v>0</v>
      </c>
      <c r="J109" s="13" t="n">
        <v>4.16</v>
      </c>
      <c r="K109" s="13" t="n">
        <v>4.16</v>
      </c>
    </row>
    <row r="110">
      <c r="A110" s="10" t="inlineStr">
        <is>
          <t>HPRegen</t>
        </is>
      </c>
      <c r="B110" s="10" t="inlineStr">
        <is>
          <t>HP/s</t>
        </is>
      </c>
      <c r="C110" s="10" t="n">
        <v>0.3</v>
      </c>
      <c r="D110" s="10" t="n">
        <v>0.05</v>
      </c>
      <c r="E110" s="10" t="n">
        <v>0</v>
      </c>
      <c r="F110" s="10" t="n">
        <v>0</v>
      </c>
      <c r="G110" s="10" t="n">
        <v>0</v>
      </c>
      <c r="H110" s="10" t="n">
        <v>0.05</v>
      </c>
      <c r="I110" s="10" t="n">
        <v>0</v>
      </c>
      <c r="J110" s="13" t="n">
        <v>0.6</v>
      </c>
      <c r="K110" s="13" t="n">
        <v>1.55</v>
      </c>
    </row>
    <row r="111">
      <c r="A111" s="10" t="inlineStr">
        <is>
          <t>ManaRegen</t>
        </is>
      </c>
      <c r="B111" s="10" t="inlineStr">
        <is>
          <t>Mana/s</t>
        </is>
      </c>
      <c r="C111" s="10" t="n">
        <v>0.3</v>
      </c>
      <c r="D111" s="10" t="n">
        <v>0.03</v>
      </c>
      <c r="E111" s="10" t="n">
        <v>0</v>
      </c>
      <c r="F111" s="10" t="n">
        <v>0</v>
      </c>
      <c r="G111" s="10" t="n">
        <v>0.03</v>
      </c>
      <c r="H111" s="10" t="n">
        <v>0</v>
      </c>
      <c r="I111" s="10" t="n">
        <v>0</v>
      </c>
      <c r="J111" s="13" t="n">
        <v>0.45</v>
      </c>
      <c r="K111" s="13" t="n">
        <v>1.02</v>
      </c>
    </row>
    <row r="112">
      <c r="A112" s="10" t="inlineStr">
        <is>
          <t>Evasion</t>
        </is>
      </c>
      <c r="B112" s="10" t="inlineStr">
        <is>
          <t>%</t>
        </is>
      </c>
      <c r="C112" s="10" t="n">
        <v>0</v>
      </c>
      <c r="D112" s="10" t="n">
        <v>0</v>
      </c>
      <c r="E112" s="10" t="n">
        <v>0</v>
      </c>
      <c r="F112" s="10" t="n">
        <v>0.3</v>
      </c>
      <c r="G112" s="10" t="n">
        <v>0</v>
      </c>
      <c r="H112" s="10" t="n">
        <v>0</v>
      </c>
      <c r="I112" s="10" t="n">
        <v>0.2</v>
      </c>
      <c r="J112" s="13" t="n">
        <v>6.6</v>
      </c>
      <c r="K112" s="13" t="n">
        <v>6.6</v>
      </c>
    </row>
    <row r="113">
      <c r="A113" s="10" t="inlineStr">
        <is>
          <t>LifeSteal</t>
        </is>
      </c>
      <c r="B113" s="10" t="inlineStr">
        <is>
          <t>%</t>
        </is>
      </c>
      <c r="C113" s="10" t="n">
        <v>0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0.12</v>
      </c>
      <c r="J113" s="13" t="n">
        <v>1.44</v>
      </c>
      <c r="K113" s="13" t="n">
        <v>1.44</v>
      </c>
    </row>
    <row r="114">
      <c r="A114" s="10" t="inlineStr">
        <is>
          <t>CrowdControlResist</t>
        </is>
      </c>
      <c r="B114" s="10" t="inlineStr">
        <is>
          <t>%</t>
        </is>
      </c>
      <c r="C114" s="10" t="n">
        <v>0</v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3" t="n">
        <v>0</v>
      </c>
      <c r="K114" s="13" t="n">
        <v>0</v>
      </c>
    </row>
    <row r="115">
      <c r="A115" s="10" t="inlineStr">
        <is>
          <t>AttackRange</t>
        </is>
      </c>
      <c r="B115" s="10" t="inlineStr">
        <is>
          <t>m</t>
        </is>
      </c>
      <c r="C115" s="10" t="n">
        <v>1.8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3" t="n">
        <v>1.8</v>
      </c>
      <c r="K115" s="13" t="n">
        <v>1.8</v>
      </c>
    </row>
    <row r="117">
      <c r="A117" s="31" t="inlineStr">
        <is>
          <t>BOSS</t>
        </is>
      </c>
      <c r="C117" s="32" t="inlineStr">
        <is>
          <t>Primary: STR=25  DEX=14  INT=18  VIT=30  LUK=10</t>
        </is>
      </c>
    </row>
    <row r="118">
      <c r="A118" s="6" t="inlineStr">
        <is>
          <t>Stat</t>
        </is>
      </c>
      <c r="B118" s="6" t="inlineStr">
        <is>
          <t>Đơn vị</t>
        </is>
      </c>
      <c r="C118" s="6" t="inlineStr">
        <is>
          <t>base</t>
        </is>
      </c>
      <c r="D118" s="6" t="inlineStr">
        <is>
          <t>perLevel</t>
        </is>
      </c>
      <c r="E118" s="6" t="inlineStr">
        <is>
          <t>STR</t>
        </is>
      </c>
      <c r="F118" s="6" t="inlineStr">
        <is>
          <t>DEX</t>
        </is>
      </c>
      <c r="G118" s="6" t="inlineStr">
        <is>
          <t>INT</t>
        </is>
      </c>
      <c r="H118" s="6" t="inlineStr">
        <is>
          <t>VIT</t>
        </is>
      </c>
      <c r="I118" s="6" t="inlineStr">
        <is>
          <t>LUK</t>
        </is>
      </c>
      <c r="J118" s="6" t="inlineStr">
        <is>
          <t>Giá trị Lv1</t>
        </is>
      </c>
      <c r="K118" s="6" t="inlineStr">
        <is>
          <t>Giá trị Lv20</t>
        </is>
      </c>
    </row>
    <row r="119">
      <c r="A119" s="10" t="inlineStr">
        <is>
          <t>MaxHP</t>
        </is>
      </c>
      <c r="B119" s="10" t="inlineStr">
        <is>
          <t>HP</t>
        </is>
      </c>
      <c r="C119" s="10" t="n">
        <v>500</v>
      </c>
      <c r="D119" s="10" t="n">
        <v>45</v>
      </c>
      <c r="E119" s="10" t="n">
        <v>8</v>
      </c>
      <c r="F119" s="10" t="n">
        <v>0</v>
      </c>
      <c r="G119" s="10" t="n">
        <v>0</v>
      </c>
      <c r="H119" s="10" t="n">
        <v>80</v>
      </c>
      <c r="I119" s="10" t="n">
        <v>0</v>
      </c>
      <c r="J119" s="13" t="n">
        <v>3145</v>
      </c>
      <c r="K119" s="13" t="n">
        <v>4000</v>
      </c>
    </row>
    <row r="120">
      <c r="A120" s="10" t="inlineStr">
        <is>
          <t>MaxMana</t>
        </is>
      </c>
      <c r="B120" s="10" t="inlineStr">
        <is>
          <t>Mana</t>
        </is>
      </c>
      <c r="C120" s="10" t="n">
        <v>100</v>
      </c>
      <c r="D120" s="10" t="n">
        <v>5</v>
      </c>
      <c r="E120" s="10" t="n">
        <v>0</v>
      </c>
      <c r="F120" s="10" t="n">
        <v>0</v>
      </c>
      <c r="G120" s="10" t="n">
        <v>18</v>
      </c>
      <c r="H120" s="10" t="n">
        <v>2</v>
      </c>
      <c r="I120" s="10" t="n">
        <v>0</v>
      </c>
      <c r="J120" s="13" t="n">
        <v>489</v>
      </c>
      <c r="K120" s="13" t="n">
        <v>584</v>
      </c>
    </row>
    <row r="121">
      <c r="A121" s="10" t="inlineStr">
        <is>
          <t>PhysicalDamage</t>
        </is>
      </c>
      <c r="B121" s="10" t="inlineStr">
        <is>
          <t>dmg/hit</t>
        </is>
      </c>
      <c r="C121" s="10" t="n">
        <v>10</v>
      </c>
      <c r="D121" s="10" t="n">
        <v>2.6</v>
      </c>
      <c r="E121" s="10" t="n">
        <v>4</v>
      </c>
      <c r="F121" s="10" t="n">
        <v>1</v>
      </c>
      <c r="G121" s="10" t="n">
        <v>0</v>
      </c>
      <c r="H121" s="10" t="n">
        <v>0</v>
      </c>
      <c r="I121" s="10" t="n">
        <v>0</v>
      </c>
      <c r="J121" s="13" t="n">
        <v>126.6</v>
      </c>
      <c r="K121" s="13" t="n">
        <v>176</v>
      </c>
    </row>
    <row r="122">
      <c r="A122" s="10" t="inlineStr">
        <is>
          <t>MagicDamage</t>
        </is>
      </c>
      <c r="B122" s="10" t="inlineStr">
        <is>
          <t>dmg/hit</t>
        </is>
      </c>
      <c r="C122" s="10" t="n">
        <v>10</v>
      </c>
      <c r="D122" s="10" t="n">
        <v>2</v>
      </c>
      <c r="E122" s="10" t="n">
        <v>0</v>
      </c>
      <c r="F122" s="10" t="n">
        <v>0</v>
      </c>
      <c r="G122" s="10" t="n">
        <v>4</v>
      </c>
      <c r="H122" s="10" t="n">
        <v>0</v>
      </c>
      <c r="I122" s="10" t="n">
        <v>0.5</v>
      </c>
      <c r="J122" s="13" t="n">
        <v>89</v>
      </c>
      <c r="K122" s="13" t="n">
        <v>127</v>
      </c>
    </row>
    <row r="123">
      <c r="A123" s="10" t="inlineStr">
        <is>
          <t>Defense</t>
        </is>
      </c>
      <c r="B123" s="10" t="inlineStr">
        <is>
          <t>flat</t>
        </is>
      </c>
      <c r="C123" s="10" t="n">
        <v>10</v>
      </c>
      <c r="D123" s="10" t="n">
        <v>1</v>
      </c>
      <c r="E123" s="10" t="n">
        <v>0.5</v>
      </c>
      <c r="F123" s="10" t="n">
        <v>0</v>
      </c>
      <c r="G123" s="10" t="n">
        <v>0</v>
      </c>
      <c r="H123" s="10" t="n">
        <v>2</v>
      </c>
      <c r="I123" s="10" t="n">
        <v>0</v>
      </c>
      <c r="J123" s="13" t="n">
        <v>83.5</v>
      </c>
      <c r="K123" s="13" t="n">
        <v>102.5</v>
      </c>
    </row>
    <row r="124">
      <c r="A124" s="10" t="inlineStr">
        <is>
          <t>MagicDefense</t>
        </is>
      </c>
      <c r="B124" s="10" t="inlineStr">
        <is>
          <t>flat</t>
        </is>
      </c>
      <c r="C124" s="10" t="n">
        <v>10</v>
      </c>
      <c r="D124" s="10" t="n">
        <v>1</v>
      </c>
      <c r="E124" s="10" t="n">
        <v>0</v>
      </c>
      <c r="F124" s="10" t="n">
        <v>0</v>
      </c>
      <c r="G124" s="10" t="n">
        <v>1.5</v>
      </c>
      <c r="H124" s="10" t="n">
        <v>1.8</v>
      </c>
      <c r="I124" s="10" t="n">
        <v>0</v>
      </c>
      <c r="J124" s="13" t="n">
        <v>92</v>
      </c>
      <c r="K124" s="13" t="n">
        <v>111</v>
      </c>
    </row>
    <row r="125">
      <c r="A125" s="10" t="inlineStr">
        <is>
          <t>AttackSpeed</t>
        </is>
      </c>
      <c r="B125" s="10" t="inlineStr">
        <is>
          <t>hits/s</t>
        </is>
      </c>
      <c r="C125" s="10" t="n">
        <v>0.6</v>
      </c>
      <c r="D125" s="10" t="n">
        <v>0</v>
      </c>
      <c r="E125" s="10" t="n">
        <v>0</v>
      </c>
      <c r="F125" s="10" t="n">
        <v>0.014</v>
      </c>
      <c r="G125" s="10" t="n">
        <v>0</v>
      </c>
      <c r="H125" s="10" t="n">
        <v>0</v>
      </c>
      <c r="I125" s="10" t="n">
        <v>0</v>
      </c>
      <c r="J125" s="13" t="n">
        <v>0.8</v>
      </c>
      <c r="K125" s="13" t="n">
        <v>0.8</v>
      </c>
    </row>
    <row r="126">
      <c r="A126" s="10" t="inlineStr">
        <is>
          <t>CritChance</t>
        </is>
      </c>
      <c r="B126" s="10" t="inlineStr">
        <is>
          <t>%</t>
        </is>
      </c>
      <c r="C126" s="10" t="n">
        <v>5</v>
      </c>
      <c r="D126" s="10" t="n">
        <v>0</v>
      </c>
      <c r="E126" s="10" t="n">
        <v>0</v>
      </c>
      <c r="F126" s="10" t="n">
        <v>0.05</v>
      </c>
      <c r="G126" s="10" t="n">
        <v>0</v>
      </c>
      <c r="H126" s="10" t="n">
        <v>0</v>
      </c>
      <c r="I126" s="10" t="n">
        <v>0.3</v>
      </c>
      <c r="J126" s="13" t="n">
        <v>8.699999999999999</v>
      </c>
      <c r="K126" s="13" t="n">
        <v>8.699999999999999</v>
      </c>
    </row>
    <row r="127">
      <c r="A127" s="10" t="inlineStr">
        <is>
          <t>CritDamage</t>
        </is>
      </c>
      <c r="B127" s="10" t="inlineStr">
        <is>
          <t>%</t>
        </is>
      </c>
      <c r="C127" s="10" t="n">
        <v>160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0.5</v>
      </c>
      <c r="J127" s="13" t="n">
        <v>165</v>
      </c>
      <c r="K127" s="13" t="n">
        <v>165</v>
      </c>
    </row>
    <row r="128">
      <c r="A128" s="10" t="inlineStr">
        <is>
          <t>MoveSpeed</t>
        </is>
      </c>
      <c r="B128" s="10" t="inlineStr">
        <is>
          <t>m/s</t>
        </is>
      </c>
      <c r="C128" s="10" t="n">
        <v>2</v>
      </c>
      <c r="D128" s="10" t="n">
        <v>0</v>
      </c>
      <c r="E128" s="10" t="n">
        <v>0</v>
      </c>
      <c r="F128" s="10" t="n">
        <v>0.015</v>
      </c>
      <c r="G128" s="10" t="n">
        <v>0</v>
      </c>
      <c r="H128" s="10" t="n">
        <v>0</v>
      </c>
      <c r="I128" s="10" t="n">
        <v>0</v>
      </c>
      <c r="J128" s="13" t="n">
        <v>2.21</v>
      </c>
      <c r="K128" s="13" t="n">
        <v>2.21</v>
      </c>
    </row>
    <row r="129">
      <c r="A129" s="10" t="inlineStr">
        <is>
          <t>HPRegen</t>
        </is>
      </c>
      <c r="B129" s="10" t="inlineStr">
        <is>
          <t>HP/s</t>
        </is>
      </c>
      <c r="C129" s="10" t="n">
        <v>2</v>
      </c>
      <c r="D129" s="10" t="n">
        <v>0.3</v>
      </c>
      <c r="E129" s="10" t="n">
        <v>0</v>
      </c>
      <c r="F129" s="10" t="n">
        <v>0</v>
      </c>
      <c r="G129" s="10" t="n">
        <v>0</v>
      </c>
      <c r="H129" s="10" t="n">
        <v>0.3</v>
      </c>
      <c r="I129" s="10" t="n">
        <v>0</v>
      </c>
      <c r="J129" s="13" t="n">
        <v>11.3</v>
      </c>
      <c r="K129" s="13" t="n">
        <v>17</v>
      </c>
    </row>
    <row r="130">
      <c r="A130" s="10" t="inlineStr">
        <is>
          <t>ManaRegen</t>
        </is>
      </c>
      <c r="B130" s="10" t="inlineStr">
        <is>
          <t>Mana/s</t>
        </is>
      </c>
      <c r="C130" s="10" t="n">
        <v>2</v>
      </c>
      <c r="D130" s="10" t="n">
        <v>0.12</v>
      </c>
      <c r="E130" s="10" t="n">
        <v>0</v>
      </c>
      <c r="F130" s="10" t="n">
        <v>0</v>
      </c>
      <c r="G130" s="10" t="n">
        <v>0.12</v>
      </c>
      <c r="H130" s="10" t="n">
        <v>0</v>
      </c>
      <c r="I130" s="10" t="n">
        <v>0</v>
      </c>
      <c r="J130" s="13" t="n">
        <v>4.28</v>
      </c>
      <c r="K130" s="13" t="n">
        <v>6.56</v>
      </c>
    </row>
    <row r="131">
      <c r="A131" s="10" t="inlineStr">
        <is>
          <t>Evasion</t>
        </is>
      </c>
      <c r="B131" s="10" t="inlineStr">
        <is>
          <t>%</t>
        </is>
      </c>
      <c r="C131" s="10" t="n">
        <v>0</v>
      </c>
      <c r="D131" s="10" t="n">
        <v>0</v>
      </c>
      <c r="E131" s="10" t="n">
        <v>0</v>
      </c>
      <c r="F131" s="10" t="n">
        <v>0.1</v>
      </c>
      <c r="G131" s="10" t="n">
        <v>0</v>
      </c>
      <c r="H131" s="10" t="n">
        <v>0</v>
      </c>
      <c r="I131" s="10" t="n">
        <v>0.05</v>
      </c>
      <c r="J131" s="13" t="n">
        <v>1.9</v>
      </c>
      <c r="K131" s="13" t="n">
        <v>1.9</v>
      </c>
    </row>
    <row r="132">
      <c r="A132" s="10" t="inlineStr">
        <is>
          <t>LifeSteal</t>
        </is>
      </c>
      <c r="B132" s="10" t="inlineStr">
        <is>
          <t>%</t>
        </is>
      </c>
      <c r="C132" s="10" t="n">
        <v>0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0.05</v>
      </c>
      <c r="J132" s="13" t="n">
        <v>0.5</v>
      </c>
      <c r="K132" s="13" t="n">
        <v>0.5</v>
      </c>
    </row>
    <row r="133">
      <c r="A133" s="10" t="inlineStr">
        <is>
          <t>CrowdControlResist</t>
        </is>
      </c>
      <c r="B133" s="10" t="inlineStr">
        <is>
          <t>%</t>
        </is>
      </c>
      <c r="C133" s="10" t="n">
        <v>90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3" t="n">
        <v>90</v>
      </c>
      <c r="K133" s="13" t="n">
        <v>90</v>
      </c>
    </row>
    <row r="134">
      <c r="A134" s="10" t="inlineStr">
        <is>
          <t>AttackRange</t>
        </is>
      </c>
      <c r="B134" s="10" t="inlineStr">
        <is>
          <t>m</t>
        </is>
      </c>
      <c r="C134" s="10" t="n">
        <v>3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3" t="n">
        <v>3</v>
      </c>
      <c r="K134" s="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2026-08-20T07:12:01Z</dcterms:created>
  <dcterms:modified xsi:type="dcterms:W3CDTF">2026-08-20T07:12:01Z</dcterms:modified>
</cp:coreProperties>
</file>