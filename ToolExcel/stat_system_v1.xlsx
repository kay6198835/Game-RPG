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Entity Formula" sheetId="1" state="visible" r:id="rId3"/>
    <sheet name="Base Formula + Multipli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<sst xmlns="http://schemas.openxmlformats.org/spreadsheetml/2006/main" count="156" uniqueCount="64">
  <si>
    <t xml:space="preserve">PER-ENTITY STAT SYSTEM — mỗi loài có hệ số (A, Coef1, Coef2) riêng trong cùng 1 dạng công thức</t>
  </si>
  <si>
    <t xml:space="preserve">Đổi giá trị primary (STR/DEX/INT/VIT/LUK) hoặc hệ số (ô màu xanh) — cột Result tự tính lại.</t>
  </si>
  <si>
    <t xml:space="preserve">PRIMARY STATS</t>
  </si>
  <si>
    <t xml:space="preserve">Player</t>
  </si>
  <si>
    <t xml:space="preserve">Trash Melee</t>
  </si>
  <si>
    <t xml:space="preserve">Ranged Caster</t>
  </si>
  <si>
    <t xml:space="preserve">Tank</t>
  </si>
  <si>
    <t xml:space="preserve">Fast Swarm</t>
  </si>
  <si>
    <t xml:space="preserve">Assassin</t>
  </si>
  <si>
    <t xml:space="preserve">Boss</t>
  </si>
  <si>
    <t xml:space="preserve">STR</t>
  </si>
  <si>
    <t xml:space="preserve">DEX</t>
  </si>
  <si>
    <t xml:space="preserve">INT</t>
  </si>
  <si>
    <t xml:space="preserve">VIT</t>
  </si>
  <si>
    <t xml:space="preserve">LUK</t>
  </si>
  <si>
    <t xml:space="preserve">DERIVED STATS (mỗi entity: A | C1 | C2 | Result)</t>
  </si>
  <si>
    <t xml:space="preserve">Stat</t>
  </si>
  <si>
    <t xml:space="preserve">A</t>
  </si>
  <si>
    <t xml:space="preserve">C1</t>
  </si>
  <si>
    <t xml:space="preserve">C2</t>
  </si>
  <si>
    <t xml:space="preserve">Result</t>
  </si>
  <si>
    <t xml:space="preserve">MaxHP (HP)</t>
  </si>
  <si>
    <t xml:space="preserve">MaxMana (Mana)</t>
  </si>
  <si>
    <t xml:space="preserve">PhysicalDamage (dmg/hit)</t>
  </si>
  <si>
    <t xml:space="preserve">MagicDamage (dmg/hit)</t>
  </si>
  <si>
    <t xml:space="preserve">Defense (flat)</t>
  </si>
  <si>
    <t xml:space="preserve">MagicDefense (flat)</t>
  </si>
  <si>
    <t xml:space="preserve">AttackSpeed (hits/s)</t>
  </si>
  <si>
    <t xml:space="preserve">CritChance (%)</t>
  </si>
  <si>
    <t xml:space="preserve">CritDamage (%)</t>
  </si>
  <si>
    <t xml:space="preserve">MoveSpeed (m/s)</t>
  </si>
  <si>
    <t xml:space="preserve">HPRegen (HP/s)</t>
  </si>
  <si>
    <t xml:space="preserve">ManaRegen (Mana/s)</t>
  </si>
  <si>
    <t xml:space="preserve">Evasion (%)</t>
  </si>
  <si>
    <t xml:space="preserve">LifeSteal (%)</t>
  </si>
  <si>
    <t xml:space="preserve">CrowdControlResist (%)</t>
  </si>
  <si>
    <t xml:space="preserve">AttackRange (m)</t>
  </si>
  <si>
    <t xml:space="preserve">Ghi chú: ô XANH = hardcoded input (sửa được). Ô XÁM/Result = formula tự tính.</t>
  </si>
  <si>
    <t xml:space="preserve">AttackSpeed clamp [0.3,3.0] | CritChance clamp [0,80] | Evasion clamp [0,75] | CrowdControlResist &amp; AttackRange = giá trị cố định, không tính từ primary.</t>
  </si>
  <si>
    <t xml:space="preserve">BASE FORMULA SYSTEM (tham khảo) — 1 công thức gốc dùng chung + multiplier riêng theo loài</t>
  </si>
  <si>
    <t xml:space="preserve">Sửa BASE COEFFICIENTS sẽ tự lan ra TẤT CẢ entity. Sửa MULTIPLIER chỉ ảnh hưởng entity đó.</t>
  </si>
  <si>
    <t xml:space="preserve">BASE COEFFICIENTS (dùng chung cho mọi entity)</t>
  </si>
  <si>
    <t xml:space="preserve">Clamp Min</t>
  </si>
  <si>
    <t xml:space="preserve">Clamp Max</t>
  </si>
  <si>
    <t xml:space="preserve">MULTIPLIER theo loài (nhân vào kết quả base formula)</t>
  </si>
  <si>
    <t xml:space="preserve">MaxHP</t>
  </si>
  <si>
    <t xml:space="preserve">MaxMana</t>
  </si>
  <si>
    <t xml:space="preserve">PhysicalDamage</t>
  </si>
  <si>
    <t xml:space="preserve">MagicDamage</t>
  </si>
  <si>
    <t xml:space="preserve">Defense</t>
  </si>
  <si>
    <t xml:space="preserve">MagicDefense</t>
  </si>
  <si>
    <t xml:space="preserve">AttackSpeed</t>
  </si>
  <si>
    <t xml:space="preserve">CritChance</t>
  </si>
  <si>
    <t xml:space="preserve">CritDamage</t>
  </si>
  <si>
    <t xml:space="preserve">MoveSpeed</t>
  </si>
  <si>
    <t xml:space="preserve">HPRegen</t>
  </si>
  <si>
    <t xml:space="preserve">ManaRegen</t>
  </si>
  <si>
    <t xml:space="preserve">Evasion</t>
  </si>
  <si>
    <t xml:space="preserve">LifeSteal</t>
  </si>
  <si>
    <t xml:space="preserve">RESULT = clamp(BaseFormula(primary, base coef)) * Multiplier</t>
  </si>
  <si>
    <t xml:space="preserve">CrowdControlResist (%) — fixed, không qua base formula</t>
  </si>
  <si>
    <t xml:space="preserve">AttackRange (m) — fixed, không qua base formula</t>
  </si>
  <si>
    <t xml:space="preserve">Ghi chú: sheet này là bản tham khảo cho hướng phát triển sau — đổi BASE COEFFICIENTS sẽ ảnh hưởng toàn bộ 7 entity cùng lúc.</t>
  </si>
  <si>
    <t xml:space="preserve">CrowdControlResist &amp; AttackRange luôn là giá trị cố định thủ công ở cả 2 hệ thống, không tính từ Primary.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</si>
</sst>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80808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 t="n">
        <v>10</v>
      </c>
      <c r="C5" s="6" t="n">
        <v>8</v>
      </c>
      <c r="D5" s="6" t="n">
        <v>3</v>
      </c>
      <c r="E5" s="6" t="n">
        <v>10</v>
      </c>
      <c r="F5" s="6" t="n">
        <v>5</v>
      </c>
      <c r="G5" s="6" t="n">
        <v>7</v>
      </c>
      <c r="H5" s="6" t="n">
        <v>25</v>
      </c>
    </row>
    <row r="6" customFormat="false" ht="15" hidden="false" customHeight="false" outlineLevel="0" collapsed="false">
      <c r="A6" s="5" t="s">
        <v>11</v>
      </c>
      <c r="B6" s="6" t="n">
        <v>10</v>
      </c>
      <c r="C6" s="6" t="n">
        <v>6</v>
      </c>
      <c r="D6" s="6" t="n">
        <v>5</v>
      </c>
      <c r="E6" s="6" t="n">
        <v>4</v>
      </c>
      <c r="F6" s="6" t="n">
        <v>16</v>
      </c>
      <c r="G6" s="6" t="n">
        <v>14</v>
      </c>
      <c r="H6" s="6" t="n">
        <v>14</v>
      </c>
    </row>
    <row r="7" customFormat="false" ht="15" hidden="false" customHeight="false" outlineLevel="0" collapsed="false">
      <c r="A7" s="5" t="s">
        <v>12</v>
      </c>
      <c r="B7" s="6" t="n">
        <v>10</v>
      </c>
      <c r="C7" s="6" t="n">
        <v>2</v>
      </c>
      <c r="D7" s="6" t="n">
        <v>14</v>
      </c>
      <c r="E7" s="6" t="n">
        <v>3</v>
      </c>
      <c r="F7" s="6" t="n">
        <v>2</v>
      </c>
      <c r="G7" s="6" t="n">
        <v>4</v>
      </c>
      <c r="H7" s="6" t="n">
        <v>18</v>
      </c>
    </row>
    <row r="8" customFormat="false" ht="15" hidden="false" customHeight="false" outlineLevel="0" collapsed="false">
      <c r="A8" s="5" t="s">
        <v>13</v>
      </c>
      <c r="B8" s="6" t="n">
        <v>10</v>
      </c>
      <c r="C8" s="6" t="n">
        <v>8</v>
      </c>
      <c r="D8" s="6" t="n">
        <v>5</v>
      </c>
      <c r="E8" s="6" t="n">
        <v>18</v>
      </c>
      <c r="F8" s="6" t="n">
        <v>4</v>
      </c>
      <c r="G8" s="6" t="n">
        <v>5</v>
      </c>
      <c r="H8" s="6" t="n">
        <v>30</v>
      </c>
    </row>
    <row r="9" customFormat="false" ht="15" hidden="false" customHeight="false" outlineLevel="0" collapsed="false">
      <c r="A9" s="5" t="s">
        <v>14</v>
      </c>
      <c r="B9" s="6" t="n">
        <v>10</v>
      </c>
      <c r="C9" s="6" t="n">
        <v>2</v>
      </c>
      <c r="D9" s="6" t="n">
        <v>4</v>
      </c>
      <c r="E9" s="6" t="n">
        <v>2</v>
      </c>
      <c r="F9" s="6" t="n">
        <v>6</v>
      </c>
      <c r="G9" s="6" t="n">
        <v>12</v>
      </c>
      <c r="H9" s="6" t="n">
        <v>10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7" t="s">
        <v>16</v>
      </c>
      <c r="B13" s="8" t="s">
        <v>3</v>
      </c>
      <c r="C13" s="8"/>
      <c r="D13" s="8"/>
      <c r="E13" s="8"/>
      <c r="F13" s="8" t="s">
        <v>4</v>
      </c>
      <c r="G13" s="8"/>
      <c r="H13" s="8"/>
      <c r="I13" s="8"/>
      <c r="J13" s="8" t="s">
        <v>5</v>
      </c>
      <c r="K13" s="8"/>
      <c r="L13" s="8"/>
      <c r="M13" s="8"/>
      <c r="N13" s="8" t="s">
        <v>6</v>
      </c>
      <c r="O13" s="8"/>
      <c r="P13" s="8"/>
      <c r="Q13" s="8"/>
      <c r="R13" s="8" t="s">
        <v>7</v>
      </c>
      <c r="S13" s="8"/>
      <c r="T13" s="8"/>
      <c r="U13" s="8"/>
      <c r="V13" s="8" t="s">
        <v>8</v>
      </c>
      <c r="W13" s="8"/>
      <c r="X13" s="8"/>
      <c r="Y13" s="8"/>
      <c r="Z13" s="8" t="s">
        <v>9</v>
      </c>
      <c r="AA13" s="8"/>
      <c r="AB13" s="8"/>
      <c r="AC13" s="8"/>
    </row>
    <row r="14" customFormat="false" ht="15" hidden="false" customHeight="false" outlineLevel="0" collapsed="false">
      <c r="B14" s="9" t="s">
        <v>17</v>
      </c>
      <c r="C14" s="9" t="s">
        <v>18</v>
      </c>
      <c r="D14" s="9" t="s">
        <v>19</v>
      </c>
      <c r="E14" s="9" t="s">
        <v>20</v>
      </c>
      <c r="F14" s="9" t="s">
        <v>17</v>
      </c>
      <c r="G14" s="9" t="s">
        <v>18</v>
      </c>
      <c r="H14" s="9" t="s">
        <v>19</v>
      </c>
      <c r="I14" s="9" t="s">
        <v>20</v>
      </c>
      <c r="J14" s="9" t="s">
        <v>17</v>
      </c>
      <c r="K14" s="9" t="s">
        <v>18</v>
      </c>
      <c r="L14" s="9" t="s">
        <v>19</v>
      </c>
      <c r="M14" s="9" t="s">
        <v>20</v>
      </c>
      <c r="N14" s="9" t="s">
        <v>17</v>
      </c>
      <c r="O14" s="9" t="s">
        <v>18</v>
      </c>
      <c r="P14" s="9" t="s">
        <v>19</v>
      </c>
      <c r="Q14" s="9" t="s">
        <v>20</v>
      </c>
      <c r="R14" s="9" t="s">
        <v>17</v>
      </c>
      <c r="S14" s="9" t="s">
        <v>18</v>
      </c>
      <c r="T14" s="9" t="s">
        <v>19</v>
      </c>
      <c r="U14" s="9" t="s">
        <v>20</v>
      </c>
      <c r="V14" s="9" t="s">
        <v>17</v>
      </c>
      <c r="W14" s="9" t="s">
        <v>18</v>
      </c>
      <c r="X14" s="9" t="s">
        <v>19</v>
      </c>
      <c r="Y14" s="9" t="s">
        <v>20</v>
      </c>
      <c r="Z14" s="9" t="s">
        <v>17</v>
      </c>
      <c r="AA14" s="9" t="s">
        <v>18</v>
      </c>
      <c r="AB14" s="9" t="s">
        <v>19</v>
      </c>
      <c r="AC14" s="9" t="s">
        <v>20</v>
      </c>
    </row>
    <row r="15" customFormat="false" ht="15" hidden="false" customHeight="false" outlineLevel="0" collapsed="false">
      <c r="A15" s="10" t="s">
        <v>21</v>
      </c>
      <c r="B15" s="6" t="n">
        <v>50</v>
      </c>
      <c r="C15" s="6" t="n">
        <v>2</v>
      </c>
      <c r="D15" s="6" t="n">
        <v>12</v>
      </c>
      <c r="E15" s="11" t="n">
        <f aca="false">B15+C15*B5+D15*B8</f>
        <v>190</v>
      </c>
      <c r="F15" s="6" t="n">
        <v>30</v>
      </c>
      <c r="G15" s="6" t="n">
        <v>1.5</v>
      </c>
      <c r="H15" s="6" t="n">
        <v>13</v>
      </c>
      <c r="I15" s="11" t="n">
        <f aca="false">F15+G15*C5+H15*C8</f>
        <v>146</v>
      </c>
      <c r="J15" s="6" t="n">
        <v>20</v>
      </c>
      <c r="K15" s="6" t="n">
        <v>0.5</v>
      </c>
      <c r="L15" s="6" t="n">
        <v>8</v>
      </c>
      <c r="M15" s="11" t="n">
        <f aca="false">J15+K15*D5+L15*D8</f>
        <v>61.5</v>
      </c>
      <c r="N15" s="6" t="n">
        <v>80</v>
      </c>
      <c r="O15" s="6" t="n">
        <v>3</v>
      </c>
      <c r="P15" s="6" t="n">
        <v>20</v>
      </c>
      <c r="Q15" s="11" t="n">
        <f aca="false">N15+O15*E5+P15*E8</f>
        <v>470</v>
      </c>
      <c r="R15" s="6" t="n">
        <v>15</v>
      </c>
      <c r="S15" s="6" t="n">
        <v>0.5</v>
      </c>
      <c r="T15" s="6" t="n">
        <v>6</v>
      </c>
      <c r="U15" s="11" t="n">
        <f aca="false">R15+S15*F5+T15*F8</f>
        <v>41.5</v>
      </c>
      <c r="V15" s="6" t="n">
        <v>20</v>
      </c>
      <c r="W15" s="6" t="n">
        <v>0.5</v>
      </c>
      <c r="X15" s="6" t="n">
        <v>7</v>
      </c>
      <c r="Y15" s="11" t="n">
        <f aca="false">V15+W15*G5+X15*G8</f>
        <v>58.5</v>
      </c>
      <c r="Z15" s="6" t="n">
        <v>500</v>
      </c>
      <c r="AA15" s="6" t="n">
        <v>8</v>
      </c>
      <c r="AB15" s="6" t="n">
        <v>80</v>
      </c>
      <c r="AC15" s="11" t="n">
        <f aca="false">Z15+AA15*H5+AB15*H8</f>
        <v>3100</v>
      </c>
    </row>
    <row r="16" customFormat="false" ht="15" hidden="false" customHeight="false" outlineLevel="0" collapsed="false">
      <c r="A16" s="10" t="s">
        <v>22</v>
      </c>
      <c r="B16" s="6" t="n">
        <v>30</v>
      </c>
      <c r="C16" s="6" t="n">
        <v>10</v>
      </c>
      <c r="D16" s="6" t="n">
        <v>1</v>
      </c>
      <c r="E16" s="11" t="n">
        <f aca="false">B16+C16*B7+D16*B8</f>
        <v>140</v>
      </c>
      <c r="F16" s="6" t="n">
        <v>10</v>
      </c>
      <c r="G16" s="6" t="n">
        <v>5</v>
      </c>
      <c r="H16" s="6" t="n">
        <v>0</v>
      </c>
      <c r="I16" s="11" t="n">
        <f aca="false">F16+G16*C7+H16*C8</f>
        <v>20</v>
      </c>
      <c r="J16" s="6" t="n">
        <v>40</v>
      </c>
      <c r="K16" s="6" t="n">
        <v>14</v>
      </c>
      <c r="L16" s="6" t="n">
        <v>0.5</v>
      </c>
      <c r="M16" s="11" t="n">
        <f aca="false">J16+K16*D7+L16*D8</f>
        <v>238.5</v>
      </c>
      <c r="N16" s="6" t="n">
        <v>15</v>
      </c>
      <c r="O16" s="6" t="n">
        <v>4</v>
      </c>
      <c r="P16" s="6" t="n">
        <v>0.5</v>
      </c>
      <c r="Q16" s="11" t="n">
        <f aca="false">N16+O16*E7+P16*E8</f>
        <v>36</v>
      </c>
      <c r="R16" s="6" t="n">
        <v>5</v>
      </c>
      <c r="S16" s="6" t="n">
        <v>4</v>
      </c>
      <c r="T16" s="6" t="n">
        <v>0</v>
      </c>
      <c r="U16" s="11" t="n">
        <f aca="false">R16+S16*F7+T16*F8</f>
        <v>13</v>
      </c>
      <c r="V16" s="6" t="n">
        <v>10</v>
      </c>
      <c r="W16" s="6" t="n">
        <v>4</v>
      </c>
      <c r="X16" s="6" t="n">
        <v>0</v>
      </c>
      <c r="Y16" s="11" t="n">
        <f aca="false">V16+W16*G7+X16*G8</f>
        <v>26</v>
      </c>
      <c r="Z16" s="6" t="n">
        <v>100</v>
      </c>
      <c r="AA16" s="6" t="n">
        <v>18</v>
      </c>
      <c r="AB16" s="6" t="n">
        <v>2</v>
      </c>
      <c r="AC16" s="11" t="n">
        <f aca="false">Z16+AA16*H7+AB16*H8</f>
        <v>484</v>
      </c>
    </row>
    <row r="17" customFormat="false" ht="15" hidden="false" customHeight="false" outlineLevel="0" collapsed="false">
      <c r="A17" s="10" t="s">
        <v>23</v>
      </c>
      <c r="B17" s="6" t="n">
        <v>0</v>
      </c>
      <c r="C17" s="6" t="n">
        <v>2.2</v>
      </c>
      <c r="D17" s="6" t="n">
        <v>0.8</v>
      </c>
      <c r="E17" s="11" t="n">
        <f aca="false">B17+C17*B5+D17*B6</f>
        <v>30</v>
      </c>
      <c r="F17" s="6" t="n">
        <v>2</v>
      </c>
      <c r="G17" s="6" t="n">
        <v>2.6</v>
      </c>
      <c r="H17" s="6" t="n">
        <v>0.5</v>
      </c>
      <c r="I17" s="11" t="n">
        <f aca="false">F17+G17*C5+H17*C6</f>
        <v>25.8</v>
      </c>
      <c r="J17" s="6" t="n">
        <v>0</v>
      </c>
      <c r="K17" s="6" t="n">
        <v>1</v>
      </c>
      <c r="L17" s="6" t="n">
        <v>0.5</v>
      </c>
      <c r="M17" s="11" t="n">
        <f aca="false">J17+K17*D5+L17*D6</f>
        <v>5.5</v>
      </c>
      <c r="N17" s="6" t="n">
        <v>0</v>
      </c>
      <c r="O17" s="6" t="n">
        <v>1.8</v>
      </c>
      <c r="P17" s="6" t="n">
        <v>0.3</v>
      </c>
      <c r="Q17" s="11" t="n">
        <f aca="false">N17+O17*E5+P17*E6</f>
        <v>19.2</v>
      </c>
      <c r="R17" s="6" t="n">
        <v>0</v>
      </c>
      <c r="S17" s="6" t="n">
        <v>1.5</v>
      </c>
      <c r="T17" s="6" t="n">
        <v>0.6</v>
      </c>
      <c r="U17" s="11" t="n">
        <f aca="false">R17+S17*F5+T17*F6</f>
        <v>17.1</v>
      </c>
      <c r="V17" s="6" t="n">
        <v>0</v>
      </c>
      <c r="W17" s="6" t="n">
        <v>2</v>
      </c>
      <c r="X17" s="6" t="n">
        <v>1.4</v>
      </c>
      <c r="Y17" s="11" t="n">
        <f aca="false">V17+W17*G5+X17*G6</f>
        <v>33.6</v>
      </c>
      <c r="Z17" s="6" t="n">
        <v>10</v>
      </c>
      <c r="AA17" s="6" t="n">
        <v>4</v>
      </c>
      <c r="AB17" s="6" t="n">
        <v>1</v>
      </c>
      <c r="AC17" s="11" t="n">
        <f aca="false">Z17+AA17*H5+AB17*H6</f>
        <v>124</v>
      </c>
    </row>
    <row r="18" customFormat="false" ht="15" hidden="false" customHeight="false" outlineLevel="0" collapsed="false">
      <c r="A18" s="10" t="s">
        <v>24</v>
      </c>
      <c r="B18" s="6" t="n">
        <v>0</v>
      </c>
      <c r="C18" s="6" t="n">
        <v>2.5</v>
      </c>
      <c r="D18" s="6" t="n">
        <v>0.3</v>
      </c>
      <c r="E18" s="11" t="n">
        <f aca="false">B18+C18*B7+D18*B9</f>
        <v>28</v>
      </c>
      <c r="F18" s="6" t="n">
        <v>0</v>
      </c>
      <c r="G18" s="6" t="n">
        <v>0.7</v>
      </c>
      <c r="H18" s="6" t="n">
        <v>0.1</v>
      </c>
      <c r="I18" s="11" t="n">
        <f aca="false">F18+G18*C7+H18*C9</f>
        <v>1.6</v>
      </c>
      <c r="J18" s="6" t="n">
        <v>5</v>
      </c>
      <c r="K18" s="6" t="n">
        <v>3.6</v>
      </c>
      <c r="L18" s="6" t="n">
        <v>0.3</v>
      </c>
      <c r="M18" s="11" t="n">
        <f aca="false">J18+K18*D7+L18*D9</f>
        <v>56.6</v>
      </c>
      <c r="N18" s="6" t="n">
        <v>0</v>
      </c>
      <c r="O18" s="6" t="n">
        <v>0.8</v>
      </c>
      <c r="P18" s="6" t="n">
        <v>0.1</v>
      </c>
      <c r="Q18" s="11" t="n">
        <f aca="false">N18+O18*E7+P18*E9</f>
        <v>2.6</v>
      </c>
      <c r="R18" s="6" t="n">
        <v>0</v>
      </c>
      <c r="S18" s="6" t="n">
        <v>0.5</v>
      </c>
      <c r="T18" s="6" t="n">
        <v>0.1</v>
      </c>
      <c r="U18" s="11" t="n">
        <f aca="false">R18+S18*F7+T18*F9</f>
        <v>1.6</v>
      </c>
      <c r="V18" s="6" t="n">
        <v>0</v>
      </c>
      <c r="W18" s="6" t="n">
        <v>0.9</v>
      </c>
      <c r="X18" s="6" t="n">
        <v>0.2</v>
      </c>
      <c r="Y18" s="11" t="n">
        <f aca="false">V18+W18*G7+X18*G9</f>
        <v>6</v>
      </c>
      <c r="Z18" s="6" t="n">
        <v>10</v>
      </c>
      <c r="AA18" s="6" t="n">
        <v>4</v>
      </c>
      <c r="AB18" s="6" t="n">
        <v>0.5</v>
      </c>
      <c r="AC18" s="11" t="n">
        <f aca="false">Z18+AA18*H7+AB18*H9</f>
        <v>87</v>
      </c>
    </row>
    <row r="19" customFormat="false" ht="15" hidden="false" customHeight="false" outlineLevel="0" collapsed="false">
      <c r="A19" s="10" t="s">
        <v>25</v>
      </c>
      <c r="B19" s="6" t="n">
        <v>0</v>
      </c>
      <c r="C19" s="6" t="n">
        <v>1.5</v>
      </c>
      <c r="D19" s="6" t="n">
        <v>0.5</v>
      </c>
      <c r="E19" s="11" t="n">
        <f aca="false">B19+C19*B8+D19*B5</f>
        <v>20</v>
      </c>
      <c r="F19" s="6" t="n">
        <v>0</v>
      </c>
      <c r="G19" s="6" t="n">
        <v>1</v>
      </c>
      <c r="H19" s="6" t="n">
        <v>0.3</v>
      </c>
      <c r="I19" s="11" t="n">
        <f aca="false">F19+G19*C8+H19*C5</f>
        <v>10.4</v>
      </c>
      <c r="J19" s="6" t="n">
        <v>0</v>
      </c>
      <c r="K19" s="6" t="n">
        <v>0.8</v>
      </c>
      <c r="L19" s="6" t="n">
        <v>0.1</v>
      </c>
      <c r="M19" s="11" t="n">
        <f aca="false">J19+K19*D8+L19*D5</f>
        <v>4.3</v>
      </c>
      <c r="N19" s="6" t="n">
        <v>5</v>
      </c>
      <c r="O19" s="6" t="n">
        <v>1.8</v>
      </c>
      <c r="P19" s="6" t="n">
        <v>0.5</v>
      </c>
      <c r="Q19" s="11" t="n">
        <f aca="false">N19+O19*E8+P19*E5</f>
        <v>42.4</v>
      </c>
      <c r="R19" s="6" t="n">
        <v>0</v>
      </c>
      <c r="S19" s="6" t="n">
        <v>0.7</v>
      </c>
      <c r="T19" s="6" t="n">
        <v>0.1</v>
      </c>
      <c r="U19" s="11" t="n">
        <f aca="false">R19+S19*F8+T19*F5</f>
        <v>3.3</v>
      </c>
      <c r="V19" s="6" t="n">
        <v>0</v>
      </c>
      <c r="W19" s="6" t="n">
        <v>0.7</v>
      </c>
      <c r="X19" s="6" t="n">
        <v>0.1</v>
      </c>
      <c r="Y19" s="11" t="n">
        <f aca="false">V19+W19*G8+X19*G5</f>
        <v>4.2</v>
      </c>
      <c r="Z19" s="6" t="n">
        <v>10</v>
      </c>
      <c r="AA19" s="6" t="n">
        <v>2</v>
      </c>
      <c r="AB19" s="6" t="n">
        <v>0.5</v>
      </c>
      <c r="AC19" s="11" t="n">
        <f aca="false">Z19+AA19*H8+AB19*H5</f>
        <v>82.5</v>
      </c>
    </row>
    <row r="20" customFormat="false" ht="15" hidden="false" customHeight="false" outlineLevel="0" collapsed="false">
      <c r="A20" s="10" t="s">
        <v>26</v>
      </c>
      <c r="B20" s="6" t="n">
        <v>0</v>
      </c>
      <c r="C20" s="6" t="n">
        <v>1</v>
      </c>
      <c r="D20" s="6" t="n">
        <v>0.8</v>
      </c>
      <c r="E20" s="11" t="n">
        <f aca="false">B20+C20*B7+D20*B8</f>
        <v>18</v>
      </c>
      <c r="F20" s="6" t="n">
        <v>0</v>
      </c>
      <c r="G20" s="6" t="n">
        <v>0.5</v>
      </c>
      <c r="H20" s="6" t="n">
        <v>0.4</v>
      </c>
      <c r="I20" s="11" t="n">
        <f aca="false">F20+G20*C7+H20*C8</f>
        <v>4.2</v>
      </c>
      <c r="J20" s="6" t="n">
        <v>0</v>
      </c>
      <c r="K20" s="6" t="n">
        <v>1</v>
      </c>
      <c r="L20" s="6" t="n">
        <v>0.5</v>
      </c>
      <c r="M20" s="11" t="n">
        <f aca="false">J20+K20*D7+L20*D8</f>
        <v>16.5</v>
      </c>
      <c r="N20" s="6" t="n">
        <v>5</v>
      </c>
      <c r="O20" s="6" t="n">
        <v>0.8</v>
      </c>
      <c r="P20" s="6" t="n">
        <v>1.5</v>
      </c>
      <c r="Q20" s="11" t="n">
        <f aca="false">N20+O20*E7+P20*E8</f>
        <v>34.4</v>
      </c>
      <c r="R20" s="6" t="n">
        <v>0</v>
      </c>
      <c r="S20" s="6" t="n">
        <v>0.4</v>
      </c>
      <c r="T20" s="6" t="n">
        <v>0.3</v>
      </c>
      <c r="U20" s="11" t="n">
        <f aca="false">R20+S20*F7+T20*F8</f>
        <v>2</v>
      </c>
      <c r="V20" s="6" t="n">
        <v>0</v>
      </c>
      <c r="W20" s="6" t="n">
        <v>0.6</v>
      </c>
      <c r="X20" s="6" t="n">
        <v>0.4</v>
      </c>
      <c r="Y20" s="11" t="n">
        <f aca="false">V20+W20*G7+X20*G8</f>
        <v>4.4</v>
      </c>
      <c r="Z20" s="6" t="n">
        <v>10</v>
      </c>
      <c r="AA20" s="6" t="n">
        <v>1.5</v>
      </c>
      <c r="AB20" s="6" t="n">
        <v>1.8</v>
      </c>
      <c r="AC20" s="11" t="n">
        <f aca="false">Z20+AA20*H7+AB20*H8</f>
        <v>91</v>
      </c>
    </row>
    <row r="21" customFormat="false" ht="15" hidden="false" customHeight="false" outlineLevel="0" collapsed="false">
      <c r="A21" s="10" t="s">
        <v>27</v>
      </c>
      <c r="B21" s="6" t="n">
        <v>0.8</v>
      </c>
      <c r="C21" s="6" t="n">
        <v>0.015</v>
      </c>
      <c r="D21" s="6"/>
      <c r="E21" s="11" t="n">
        <f aca="false">MIN(MAX(B21+C21*B6,0.3),3)</f>
        <v>0.95</v>
      </c>
      <c r="F21" s="6" t="n">
        <v>0.8</v>
      </c>
      <c r="G21" s="6" t="n">
        <v>0.015</v>
      </c>
      <c r="H21" s="6"/>
      <c r="I21" s="11" t="n">
        <f aca="false">MIN(MAX(F21+G21*C6,0.3),3)</f>
        <v>0.89</v>
      </c>
      <c r="J21" s="6" t="n">
        <v>0.5</v>
      </c>
      <c r="K21" s="6" t="n">
        <v>0.012</v>
      </c>
      <c r="L21" s="6"/>
      <c r="M21" s="11" t="n">
        <f aca="false">MIN(MAX(J21+K21*D6,0.3),3)</f>
        <v>0.56</v>
      </c>
      <c r="N21" s="6" t="n">
        <v>0.5</v>
      </c>
      <c r="O21" s="6" t="n">
        <v>0.01</v>
      </c>
      <c r="P21" s="6"/>
      <c r="Q21" s="11" t="n">
        <f aca="false">MIN(MAX(N21+O21*E6,0.3),3)</f>
        <v>0.54</v>
      </c>
      <c r="R21" s="6" t="n">
        <v>0.9</v>
      </c>
      <c r="S21" s="6" t="n">
        <v>0.025</v>
      </c>
      <c r="T21" s="6"/>
      <c r="U21" s="11" t="n">
        <f aca="false">MIN(MAX(R21+S21*F6,0.3),3)</f>
        <v>1.3</v>
      </c>
      <c r="V21" s="6" t="n">
        <v>0.9</v>
      </c>
      <c r="W21" s="6" t="n">
        <v>0.028</v>
      </c>
      <c r="X21" s="6"/>
      <c r="Y21" s="11" t="n">
        <f aca="false">MIN(MAX(V21+W21*G6,0.3),3)</f>
        <v>1.292</v>
      </c>
      <c r="Z21" s="6" t="n">
        <v>0.6</v>
      </c>
      <c r="AA21" s="6" t="n">
        <v>0.014</v>
      </c>
      <c r="AB21" s="6"/>
      <c r="AC21" s="11" t="n">
        <f aca="false">MIN(MAX(Z21+AA21*H6,0.3),3)</f>
        <v>0.796</v>
      </c>
    </row>
    <row r="22" customFormat="false" ht="15" hidden="false" customHeight="false" outlineLevel="0" collapsed="false">
      <c r="A22" s="10" t="s">
        <v>28</v>
      </c>
      <c r="B22" s="6" t="n">
        <v>5</v>
      </c>
      <c r="C22" s="6" t="n">
        <v>0.35</v>
      </c>
      <c r="D22" s="6" t="n">
        <v>0.05</v>
      </c>
      <c r="E22" s="11" t="n">
        <f aca="false">MIN(MAX(B22+C22*B9+D22*B6,0),80)</f>
        <v>9</v>
      </c>
      <c r="F22" s="6" t="n">
        <v>3</v>
      </c>
      <c r="G22" s="6" t="n">
        <v>0.2</v>
      </c>
      <c r="H22" s="6" t="n">
        <v>0.03</v>
      </c>
      <c r="I22" s="11" t="n">
        <f aca="false">MIN(MAX(F22+G22*C9+H22*C6,0),80)</f>
        <v>3.58</v>
      </c>
      <c r="J22" s="6" t="n">
        <v>3</v>
      </c>
      <c r="K22" s="6" t="n">
        <v>0.2</v>
      </c>
      <c r="L22" s="6" t="n">
        <v>0.03</v>
      </c>
      <c r="M22" s="11" t="n">
        <f aca="false">MIN(MAX(J22+K22*D9+L22*D6,0),80)</f>
        <v>3.95</v>
      </c>
      <c r="N22" s="6" t="n">
        <v>2</v>
      </c>
      <c r="O22" s="6" t="n">
        <v>0.15</v>
      </c>
      <c r="P22" s="6" t="n">
        <v>0.02</v>
      </c>
      <c r="Q22" s="11" t="n">
        <f aca="false">MIN(MAX(N22+O22*E9+P22*E6,0),80)</f>
        <v>2.38</v>
      </c>
      <c r="R22" s="6" t="n">
        <v>4</v>
      </c>
      <c r="S22" s="6" t="n">
        <v>0.25</v>
      </c>
      <c r="T22" s="6" t="n">
        <v>0.04</v>
      </c>
      <c r="U22" s="11" t="n">
        <f aca="false">MIN(MAX(R22+S22*F9+T22*F6,0),80)</f>
        <v>6.14</v>
      </c>
      <c r="V22" s="6" t="n">
        <v>8</v>
      </c>
      <c r="W22" s="6" t="n">
        <v>0.6</v>
      </c>
      <c r="X22" s="6" t="n">
        <v>0.08</v>
      </c>
      <c r="Y22" s="11" t="n">
        <f aca="false">MIN(MAX(V22+W22*G9+X22*G6,0),80)</f>
        <v>16.32</v>
      </c>
      <c r="Z22" s="6" t="n">
        <v>5</v>
      </c>
      <c r="AA22" s="6" t="n">
        <v>0.3</v>
      </c>
      <c r="AB22" s="6" t="n">
        <v>0.05</v>
      </c>
      <c r="AC22" s="11" t="n">
        <f aca="false">MIN(MAX(Z22+AA22*H9+AB22*H6,0),80)</f>
        <v>8.7</v>
      </c>
    </row>
    <row r="23" customFormat="false" ht="15" hidden="false" customHeight="false" outlineLevel="0" collapsed="false">
      <c r="A23" s="10" t="s">
        <v>29</v>
      </c>
      <c r="B23" s="6" t="n">
        <v>150</v>
      </c>
      <c r="C23" s="6" t="n">
        <v>0.8</v>
      </c>
      <c r="D23" s="6"/>
      <c r="E23" s="11" t="n">
        <f aca="false">B23+C23*B9</f>
        <v>158</v>
      </c>
      <c r="F23" s="6" t="n">
        <v>150</v>
      </c>
      <c r="G23" s="6" t="n">
        <v>0</v>
      </c>
      <c r="H23" s="6"/>
      <c r="I23" s="11" t="n">
        <f aca="false">F23+G23*C9</f>
        <v>150</v>
      </c>
      <c r="J23" s="6" t="n">
        <v>150</v>
      </c>
      <c r="K23" s="6" t="n">
        <v>0</v>
      </c>
      <c r="L23" s="6"/>
      <c r="M23" s="11" t="n">
        <f aca="false">J23+K23*D9</f>
        <v>150</v>
      </c>
      <c r="N23" s="6" t="n">
        <v>130</v>
      </c>
      <c r="O23" s="6" t="n">
        <v>0.3</v>
      </c>
      <c r="P23" s="6"/>
      <c r="Q23" s="11" t="n">
        <f aca="false">N23+O23*E9</f>
        <v>130.6</v>
      </c>
      <c r="R23" s="6" t="n">
        <v>150</v>
      </c>
      <c r="S23" s="6" t="n">
        <v>0</v>
      </c>
      <c r="T23" s="6"/>
      <c r="U23" s="11" t="n">
        <f aca="false">R23+S23*F9</f>
        <v>150</v>
      </c>
      <c r="V23" s="6" t="n">
        <v>170</v>
      </c>
      <c r="W23" s="6" t="n">
        <v>1.2</v>
      </c>
      <c r="X23" s="6"/>
      <c r="Y23" s="11" t="n">
        <f aca="false">V23+W23*G9</f>
        <v>184.4</v>
      </c>
      <c r="Z23" s="6" t="n">
        <v>160</v>
      </c>
      <c r="AA23" s="6" t="n">
        <v>0.5</v>
      </c>
      <c r="AB23" s="6"/>
      <c r="AC23" s="11" t="n">
        <f aca="false">Z23+AA23*H9</f>
        <v>165</v>
      </c>
    </row>
    <row r="24" customFormat="false" ht="15" hidden="false" customHeight="false" outlineLevel="0" collapsed="false">
      <c r="A24" s="10" t="s">
        <v>30</v>
      </c>
      <c r="B24" s="6" t="n">
        <v>3</v>
      </c>
      <c r="C24" s="6" t="n">
        <v>0.02</v>
      </c>
      <c r="D24" s="6"/>
      <c r="E24" s="11" t="n">
        <f aca="false">B24+C24*B6</f>
        <v>3.2</v>
      </c>
      <c r="F24" s="6" t="n">
        <v>2.7</v>
      </c>
      <c r="G24" s="6" t="n">
        <v>0.015</v>
      </c>
      <c r="H24" s="6"/>
      <c r="I24" s="11" t="n">
        <f aca="false">F24+G24*C6</f>
        <v>2.79</v>
      </c>
      <c r="J24" s="6" t="n">
        <v>2.5</v>
      </c>
      <c r="K24" s="6" t="n">
        <v>0.012</v>
      </c>
      <c r="L24" s="6"/>
      <c r="M24" s="11" t="n">
        <f aca="false">J24+K24*D6</f>
        <v>2.56</v>
      </c>
      <c r="N24" s="6" t="n">
        <v>1.8</v>
      </c>
      <c r="O24" s="6" t="n">
        <v>0.01</v>
      </c>
      <c r="P24" s="6"/>
      <c r="Q24" s="11" t="n">
        <f aca="false">N24+O24*E6</f>
        <v>1.84</v>
      </c>
      <c r="R24" s="6" t="n">
        <v>4.5</v>
      </c>
      <c r="S24" s="6" t="n">
        <v>0.05</v>
      </c>
      <c r="T24" s="6"/>
      <c r="U24" s="11" t="n">
        <f aca="false">R24+S24*F6</f>
        <v>5.3</v>
      </c>
      <c r="V24" s="6" t="n">
        <v>3.6</v>
      </c>
      <c r="W24" s="6" t="n">
        <v>0.04</v>
      </c>
      <c r="X24" s="6"/>
      <c r="Y24" s="11" t="n">
        <f aca="false">V24+W24*G6</f>
        <v>4.16</v>
      </c>
      <c r="Z24" s="6" t="n">
        <v>2</v>
      </c>
      <c r="AA24" s="6" t="n">
        <v>0.015</v>
      </c>
      <c r="AB24" s="6"/>
      <c r="AC24" s="11" t="n">
        <f aca="false">Z24+AA24*H6</f>
        <v>2.21</v>
      </c>
    </row>
    <row r="25" customFormat="false" ht="15" hidden="false" customHeight="false" outlineLevel="0" collapsed="false">
      <c r="A25" s="10" t="s">
        <v>31</v>
      </c>
      <c r="B25" s="6" t="n">
        <v>1</v>
      </c>
      <c r="C25" s="6" t="n">
        <v>0.1</v>
      </c>
      <c r="D25" s="6"/>
      <c r="E25" s="11" t="n">
        <f aca="false">B25+C25*B8</f>
        <v>2</v>
      </c>
      <c r="F25" s="6" t="n">
        <v>0.3</v>
      </c>
      <c r="G25" s="6" t="n">
        <v>0.05</v>
      </c>
      <c r="H25" s="6"/>
      <c r="I25" s="11" t="n">
        <f aca="false">F25+G25*C8</f>
        <v>0.7</v>
      </c>
      <c r="J25" s="6" t="n">
        <v>0.3</v>
      </c>
      <c r="K25" s="6" t="n">
        <v>0.05</v>
      </c>
      <c r="L25" s="6"/>
      <c r="M25" s="11" t="n">
        <f aca="false">J25+K25*D8</f>
        <v>0.55</v>
      </c>
      <c r="N25" s="6" t="n">
        <v>1</v>
      </c>
      <c r="O25" s="6" t="n">
        <v>0.15</v>
      </c>
      <c r="P25" s="6"/>
      <c r="Q25" s="11" t="n">
        <f aca="false">N25+O25*E8</f>
        <v>3.7</v>
      </c>
      <c r="R25" s="6" t="n">
        <v>0.3</v>
      </c>
      <c r="S25" s="6" t="n">
        <v>0.05</v>
      </c>
      <c r="T25" s="6"/>
      <c r="U25" s="11" t="n">
        <f aca="false">R25+S25*F8</f>
        <v>0.5</v>
      </c>
      <c r="V25" s="6" t="n">
        <v>0.3</v>
      </c>
      <c r="W25" s="6" t="n">
        <v>0.05</v>
      </c>
      <c r="X25" s="6"/>
      <c r="Y25" s="11" t="n">
        <f aca="false">V25+W25*G8</f>
        <v>0.55</v>
      </c>
      <c r="Z25" s="6" t="n">
        <v>2</v>
      </c>
      <c r="AA25" s="6" t="n">
        <v>0.3</v>
      </c>
      <c r="AB25" s="6"/>
      <c r="AC25" s="11" t="n">
        <f aca="false">Z25+AA25*H8</f>
        <v>11</v>
      </c>
    </row>
    <row r="26" customFormat="false" ht="15" hidden="false" customHeight="false" outlineLevel="0" collapsed="false">
      <c r="A26" s="10" t="s">
        <v>32</v>
      </c>
      <c r="B26" s="6" t="n">
        <v>1</v>
      </c>
      <c r="C26" s="6" t="n">
        <v>0.08</v>
      </c>
      <c r="D26" s="6"/>
      <c r="E26" s="11" t="n">
        <f aca="false">B26+C26*B7</f>
        <v>1.8</v>
      </c>
      <c r="F26" s="6" t="n">
        <v>0.2</v>
      </c>
      <c r="G26" s="6" t="n">
        <v>0.03</v>
      </c>
      <c r="H26" s="6"/>
      <c r="I26" s="11" t="n">
        <f aca="false">F26+G26*C7</f>
        <v>0.26</v>
      </c>
      <c r="J26" s="6" t="n">
        <v>1.5</v>
      </c>
      <c r="K26" s="6" t="n">
        <v>0.1</v>
      </c>
      <c r="L26" s="6"/>
      <c r="M26" s="11" t="n">
        <f aca="false">J26+K26*D7</f>
        <v>2.9</v>
      </c>
      <c r="N26" s="6" t="n">
        <v>0.3</v>
      </c>
      <c r="O26" s="6" t="n">
        <v>0.03</v>
      </c>
      <c r="P26" s="6"/>
      <c r="Q26" s="11" t="n">
        <f aca="false">N26+O26*E7</f>
        <v>0.39</v>
      </c>
      <c r="R26" s="6" t="n">
        <v>0.2</v>
      </c>
      <c r="S26" s="6" t="n">
        <v>0.03</v>
      </c>
      <c r="T26" s="6"/>
      <c r="U26" s="11" t="n">
        <f aca="false">R26+S26*F7</f>
        <v>0.26</v>
      </c>
      <c r="V26" s="6" t="n">
        <v>0.3</v>
      </c>
      <c r="W26" s="6" t="n">
        <v>0.03</v>
      </c>
      <c r="X26" s="6"/>
      <c r="Y26" s="11" t="n">
        <f aca="false">V26+W26*G7</f>
        <v>0.42</v>
      </c>
      <c r="Z26" s="6" t="n">
        <v>2</v>
      </c>
      <c r="AA26" s="6" t="n">
        <v>0.12</v>
      </c>
      <c r="AB26" s="6"/>
      <c r="AC26" s="11" t="n">
        <f aca="false">Z26+AA26*H7</f>
        <v>4.16</v>
      </c>
    </row>
    <row r="27" customFormat="false" ht="15" hidden="false" customHeight="false" outlineLevel="0" collapsed="false">
      <c r="A27" s="10" t="s">
        <v>33</v>
      </c>
      <c r="B27" s="6" t="n">
        <v>0</v>
      </c>
      <c r="C27" s="6" t="n">
        <v>0.25</v>
      </c>
      <c r="D27" s="6" t="n">
        <v>0.1</v>
      </c>
      <c r="E27" s="11" t="n">
        <f aca="false">MIN(MAX(C27*B6+D27*B9,0),75)</f>
        <v>3.5</v>
      </c>
      <c r="F27" s="6" t="n">
        <v>0</v>
      </c>
      <c r="G27" s="6" t="n">
        <v>0.15</v>
      </c>
      <c r="H27" s="6" t="n">
        <v>0.05</v>
      </c>
      <c r="I27" s="11" t="n">
        <f aca="false">MIN(MAX(G27*C6+H27*C9,0),75)</f>
        <v>1</v>
      </c>
      <c r="J27" s="6" t="n">
        <v>0</v>
      </c>
      <c r="K27" s="6" t="n">
        <v>0.15</v>
      </c>
      <c r="L27" s="6" t="n">
        <v>0.05</v>
      </c>
      <c r="M27" s="11" t="n">
        <f aca="false">MIN(MAX(K27*D6+L27*D9,0),75)</f>
        <v>0.95</v>
      </c>
      <c r="N27" s="6" t="n">
        <v>0</v>
      </c>
      <c r="O27" s="6" t="n">
        <v>0.05</v>
      </c>
      <c r="P27" s="6" t="n">
        <v>0.02</v>
      </c>
      <c r="Q27" s="11" t="n">
        <f aca="false">MIN(MAX(O27*E6+P27*E9,0),75)</f>
        <v>0.24</v>
      </c>
      <c r="R27" s="6" t="n">
        <v>0</v>
      </c>
      <c r="S27" s="6" t="n">
        <v>0.35</v>
      </c>
      <c r="T27" s="6" t="n">
        <v>0.15</v>
      </c>
      <c r="U27" s="11" t="n">
        <f aca="false">MIN(MAX(S27*F6+T27*F9,0),75)</f>
        <v>6.5</v>
      </c>
      <c r="V27" s="6" t="n">
        <v>0</v>
      </c>
      <c r="W27" s="6" t="n">
        <v>0.3</v>
      </c>
      <c r="X27" s="6" t="n">
        <v>0.2</v>
      </c>
      <c r="Y27" s="11" t="n">
        <f aca="false">MIN(MAX(W27*G6+X27*G9,0),75)</f>
        <v>6.6</v>
      </c>
      <c r="Z27" s="6" t="n">
        <v>0</v>
      </c>
      <c r="AA27" s="6" t="n">
        <v>0.1</v>
      </c>
      <c r="AB27" s="6" t="n">
        <v>0.05</v>
      </c>
      <c r="AC27" s="11" t="n">
        <f aca="false">MIN(MAX(AA27*H6+AB27*H9,0),75)</f>
        <v>1.9</v>
      </c>
    </row>
    <row r="28" customFormat="false" ht="15" hidden="false" customHeight="false" outlineLevel="0" collapsed="false">
      <c r="A28" s="10" t="s">
        <v>34</v>
      </c>
      <c r="B28" s="6" t="n">
        <v>0</v>
      </c>
      <c r="C28" s="6" t="n">
        <v>0.05</v>
      </c>
      <c r="D28" s="6"/>
      <c r="E28" s="11" t="n">
        <f aca="false">C28*B9</f>
        <v>0.5</v>
      </c>
      <c r="F28" s="6" t="n">
        <v>0</v>
      </c>
      <c r="G28" s="6" t="n">
        <v>0</v>
      </c>
      <c r="H28" s="6"/>
      <c r="I28" s="11" t="n">
        <f aca="false">G28*C9</f>
        <v>0</v>
      </c>
      <c r="J28" s="6" t="n">
        <v>0</v>
      </c>
      <c r="K28" s="6" t="n">
        <v>0</v>
      </c>
      <c r="L28" s="6"/>
      <c r="M28" s="11" t="n">
        <f aca="false">K28*D9</f>
        <v>0</v>
      </c>
      <c r="N28" s="6" t="n">
        <v>0</v>
      </c>
      <c r="O28" s="6" t="n">
        <v>0</v>
      </c>
      <c r="P28" s="6"/>
      <c r="Q28" s="11" t="n">
        <f aca="false">O28*E9</f>
        <v>0</v>
      </c>
      <c r="R28" s="6" t="n">
        <v>0</v>
      </c>
      <c r="S28" s="6" t="n">
        <v>0</v>
      </c>
      <c r="T28" s="6"/>
      <c r="U28" s="11" t="n">
        <f aca="false">S28*F9</f>
        <v>0</v>
      </c>
      <c r="V28" s="6" t="n">
        <v>0</v>
      </c>
      <c r="W28" s="6" t="n">
        <v>0.12</v>
      </c>
      <c r="X28" s="6"/>
      <c r="Y28" s="11" t="n">
        <f aca="false">W28*G9</f>
        <v>1.44</v>
      </c>
      <c r="Z28" s="6" t="n">
        <v>0</v>
      </c>
      <c r="AA28" s="6" t="n">
        <v>0.05</v>
      </c>
      <c r="AB28" s="6"/>
      <c r="AC28" s="11" t="n">
        <f aca="false">AA28*H9</f>
        <v>0.5</v>
      </c>
    </row>
    <row r="29" customFormat="false" ht="15" hidden="false" customHeight="false" outlineLevel="0" collapsed="false">
      <c r="A29" s="10" t="s">
        <v>35</v>
      </c>
      <c r="B29" s="6" t="n">
        <v>0</v>
      </c>
      <c r="C29" s="6"/>
      <c r="D29" s="6"/>
      <c r="E29" s="11" t="n">
        <f aca="false">B29</f>
        <v>0</v>
      </c>
      <c r="F29" s="6" t="n">
        <v>0</v>
      </c>
      <c r="G29" s="6"/>
      <c r="H29" s="6"/>
      <c r="I29" s="11" t="n">
        <f aca="false">F29</f>
        <v>0</v>
      </c>
      <c r="J29" s="6" t="n">
        <v>0</v>
      </c>
      <c r="K29" s="6"/>
      <c r="L29" s="6"/>
      <c r="M29" s="11" t="n">
        <f aca="false">J29</f>
        <v>0</v>
      </c>
      <c r="N29" s="6" t="n">
        <v>30</v>
      </c>
      <c r="O29" s="6"/>
      <c r="P29" s="6"/>
      <c r="Q29" s="11" t="n">
        <f aca="false">N29</f>
        <v>30</v>
      </c>
      <c r="R29" s="6" t="n">
        <v>0</v>
      </c>
      <c r="S29" s="6"/>
      <c r="T29" s="6"/>
      <c r="U29" s="11" t="n">
        <f aca="false">R29</f>
        <v>0</v>
      </c>
      <c r="V29" s="6" t="n">
        <v>0</v>
      </c>
      <c r="W29" s="6"/>
      <c r="X29" s="6"/>
      <c r="Y29" s="11" t="n">
        <f aca="false">V29</f>
        <v>0</v>
      </c>
      <c r="Z29" s="6" t="n">
        <v>90</v>
      </c>
      <c r="AA29" s="6"/>
      <c r="AB29" s="6"/>
      <c r="AC29" s="11" t="n">
        <f aca="false">Z29</f>
        <v>90</v>
      </c>
    </row>
    <row r="30" customFormat="false" ht="15" hidden="false" customHeight="false" outlineLevel="0" collapsed="false">
      <c r="A30" s="10" t="s">
        <v>36</v>
      </c>
      <c r="B30" s="6" t="n">
        <v>1.5</v>
      </c>
      <c r="C30" s="6"/>
      <c r="D30" s="6"/>
      <c r="E30" s="11" t="n">
        <f aca="false">B30</f>
        <v>1.5</v>
      </c>
      <c r="F30" s="6" t="n">
        <v>1.5</v>
      </c>
      <c r="G30" s="6"/>
      <c r="H30" s="6"/>
      <c r="I30" s="11" t="n">
        <f aca="false">F30</f>
        <v>1.5</v>
      </c>
      <c r="J30" s="6" t="n">
        <v>8</v>
      </c>
      <c r="K30" s="6"/>
      <c r="L30" s="6"/>
      <c r="M30" s="11" t="n">
        <f aca="false">J30</f>
        <v>8</v>
      </c>
      <c r="N30" s="6" t="n">
        <v>1.8</v>
      </c>
      <c r="O30" s="6"/>
      <c r="P30" s="6"/>
      <c r="Q30" s="11" t="n">
        <f aca="false">N30</f>
        <v>1.8</v>
      </c>
      <c r="R30" s="6" t="n">
        <v>1.2</v>
      </c>
      <c r="S30" s="6"/>
      <c r="T30" s="6"/>
      <c r="U30" s="11" t="n">
        <f aca="false">R30</f>
        <v>1.2</v>
      </c>
      <c r="V30" s="6" t="n">
        <v>1.8</v>
      </c>
      <c r="W30" s="6"/>
      <c r="X30" s="6"/>
      <c r="Y30" s="11" t="n">
        <f aca="false">V30</f>
        <v>1.8</v>
      </c>
      <c r="Z30" s="6" t="n">
        <v>3</v>
      </c>
      <c r="AA30" s="6"/>
      <c r="AB30" s="6"/>
      <c r="AC30" s="11" t="n">
        <f aca="false">Z30</f>
        <v>3</v>
      </c>
    </row>
    <row r="33" customFormat="false" ht="15" hidden="false" customHeight="false" outlineLevel="0" collapsed="false">
      <c r="A33" s="2" t="s">
        <v>37</v>
      </c>
    </row>
    <row r="34" customFormat="false" ht="15" hidden="false" customHeight="false" outlineLevel="0" collapsed="false">
      <c r="A34" s="2" t="s">
        <v>38</v>
      </c>
    </row>
  </sheetData>
  <mergeCells count="7">
    <mergeCell ref="B13:E13"/>
    <mergeCell ref="F13:I13"/>
    <mergeCell ref="J13:M13"/>
    <mergeCell ref="N13:Q13"/>
    <mergeCell ref="R13:U13"/>
    <mergeCell ref="V13:Y13"/>
    <mergeCell ref="Z13:A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3" t="s">
        <v>41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42</v>
      </c>
      <c r="F5" s="4" t="s">
        <v>43</v>
      </c>
    </row>
    <row r="6" customFormat="false" ht="15" hidden="false" customHeight="false" outlineLevel="0" collapsed="false">
      <c r="A6" s="12" t="s">
        <v>21</v>
      </c>
      <c r="B6" s="6" t="n">
        <v>50</v>
      </c>
      <c r="C6" s="6" t="n">
        <v>2</v>
      </c>
      <c r="D6" s="6" t="n">
        <v>12</v>
      </c>
      <c r="E6" s="6"/>
      <c r="F6" s="6"/>
    </row>
    <row r="7" customFormat="false" ht="15" hidden="false" customHeight="false" outlineLevel="0" collapsed="false">
      <c r="A7" s="12" t="s">
        <v>22</v>
      </c>
      <c r="B7" s="6" t="n">
        <v>30</v>
      </c>
      <c r="C7" s="6" t="n">
        <v>10</v>
      </c>
      <c r="D7" s="6" t="n">
        <v>1</v>
      </c>
      <c r="E7" s="6"/>
      <c r="F7" s="6"/>
    </row>
    <row r="8" customFormat="false" ht="15" hidden="false" customHeight="false" outlineLevel="0" collapsed="false">
      <c r="A8" s="12" t="s">
        <v>23</v>
      </c>
      <c r="B8" s="6" t="n">
        <v>0</v>
      </c>
      <c r="C8" s="6" t="n">
        <v>2.2</v>
      </c>
      <c r="D8" s="6" t="n">
        <v>0.8</v>
      </c>
      <c r="E8" s="6"/>
      <c r="F8" s="6"/>
    </row>
    <row r="9" customFormat="false" ht="15" hidden="false" customHeight="false" outlineLevel="0" collapsed="false">
      <c r="A9" s="12" t="s">
        <v>24</v>
      </c>
      <c r="B9" s="6" t="n">
        <v>0</v>
      </c>
      <c r="C9" s="6" t="n">
        <v>2.5</v>
      </c>
      <c r="D9" s="6" t="n">
        <v>0.3</v>
      </c>
      <c r="E9" s="6"/>
      <c r="F9" s="6"/>
    </row>
    <row r="10" customFormat="false" ht="15" hidden="false" customHeight="false" outlineLevel="0" collapsed="false">
      <c r="A10" s="12" t="s">
        <v>25</v>
      </c>
      <c r="B10" s="6" t="n">
        <v>0</v>
      </c>
      <c r="C10" s="6" t="n">
        <v>1.5</v>
      </c>
      <c r="D10" s="6" t="n">
        <v>0.5</v>
      </c>
      <c r="E10" s="6"/>
      <c r="F10" s="6"/>
    </row>
    <row r="11" customFormat="false" ht="15" hidden="false" customHeight="false" outlineLevel="0" collapsed="false">
      <c r="A11" s="12" t="s">
        <v>26</v>
      </c>
      <c r="B11" s="6" t="n">
        <v>0</v>
      </c>
      <c r="C11" s="6" t="n">
        <v>1</v>
      </c>
      <c r="D11" s="6" t="n">
        <v>0.8</v>
      </c>
      <c r="E11" s="6"/>
      <c r="F11" s="6"/>
    </row>
    <row r="12" customFormat="false" ht="15" hidden="false" customHeight="false" outlineLevel="0" collapsed="false">
      <c r="A12" s="12" t="s">
        <v>27</v>
      </c>
      <c r="B12" s="6" t="n">
        <v>0.8</v>
      </c>
      <c r="C12" s="6" t="n">
        <v>0.015</v>
      </c>
      <c r="D12" s="6"/>
      <c r="E12" s="6" t="n">
        <v>0.3</v>
      </c>
      <c r="F12" s="6" t="n">
        <v>3</v>
      </c>
    </row>
    <row r="13" customFormat="false" ht="15" hidden="false" customHeight="false" outlineLevel="0" collapsed="false">
      <c r="A13" s="12" t="s">
        <v>28</v>
      </c>
      <c r="B13" s="6" t="n">
        <v>5</v>
      </c>
      <c r="C13" s="6" t="n">
        <v>0.35</v>
      </c>
      <c r="D13" s="6" t="n">
        <v>0.05</v>
      </c>
      <c r="E13" s="6" t="n">
        <v>0</v>
      </c>
      <c r="F13" s="6" t="n">
        <v>80</v>
      </c>
    </row>
    <row r="14" customFormat="false" ht="15" hidden="false" customHeight="false" outlineLevel="0" collapsed="false">
      <c r="A14" s="12" t="s">
        <v>29</v>
      </c>
      <c r="B14" s="6" t="n">
        <v>150</v>
      </c>
      <c r="C14" s="6" t="n">
        <v>0.8</v>
      </c>
      <c r="D14" s="6"/>
      <c r="E14" s="6"/>
      <c r="F14" s="6"/>
    </row>
    <row r="15" customFormat="false" ht="15" hidden="false" customHeight="false" outlineLevel="0" collapsed="false">
      <c r="A15" s="12" t="s">
        <v>30</v>
      </c>
      <c r="B15" s="6" t="n">
        <v>3</v>
      </c>
      <c r="C15" s="6" t="n">
        <v>0.02</v>
      </c>
      <c r="D15" s="6"/>
      <c r="E15" s="6"/>
      <c r="F15" s="6"/>
    </row>
    <row r="16" customFormat="false" ht="15" hidden="false" customHeight="false" outlineLevel="0" collapsed="false">
      <c r="A16" s="12" t="s">
        <v>31</v>
      </c>
      <c r="B16" s="6" t="n">
        <v>1</v>
      </c>
      <c r="C16" s="6" t="n">
        <v>0.1</v>
      </c>
      <c r="D16" s="6"/>
      <c r="E16" s="6"/>
      <c r="F16" s="6"/>
    </row>
    <row r="17" customFormat="false" ht="15" hidden="false" customHeight="false" outlineLevel="0" collapsed="false">
      <c r="A17" s="12" t="s">
        <v>32</v>
      </c>
      <c r="B17" s="6" t="n">
        <v>1</v>
      </c>
      <c r="C17" s="6" t="n">
        <v>0.08</v>
      </c>
      <c r="D17" s="6"/>
      <c r="E17" s="6"/>
      <c r="F17" s="6"/>
    </row>
    <row r="18" customFormat="false" ht="15" hidden="false" customHeight="false" outlineLevel="0" collapsed="false">
      <c r="A18" s="12" t="s">
        <v>33</v>
      </c>
      <c r="B18" s="6" t="n">
        <v>0</v>
      </c>
      <c r="C18" s="6" t="n">
        <v>0.25</v>
      </c>
      <c r="D18" s="6" t="n">
        <v>0.1</v>
      </c>
      <c r="E18" s="6" t="n">
        <v>0</v>
      </c>
      <c r="F18" s="6" t="n">
        <v>75</v>
      </c>
    </row>
    <row r="19" customFormat="false" ht="15" hidden="false" customHeight="false" outlineLevel="0" collapsed="false">
      <c r="A19" s="12" t="s">
        <v>34</v>
      </c>
      <c r="B19" s="6" t="n">
        <v>0</v>
      </c>
      <c r="C19" s="6" t="n">
        <v>0.05</v>
      </c>
      <c r="D19" s="6"/>
      <c r="E19" s="6"/>
      <c r="F19" s="6"/>
    </row>
    <row r="22" customFormat="false" ht="15" hidden="false" customHeight="false" outlineLevel="0" collapsed="false">
      <c r="A22" s="3" t="s">
        <v>2</v>
      </c>
      <c r="B22" s="4" t="s">
        <v>3</v>
      </c>
      <c r="C22" s="4" t="s">
        <v>4</v>
      </c>
      <c r="D22" s="4" t="s">
        <v>5</v>
      </c>
      <c r="E22" s="4" t="s">
        <v>6</v>
      </c>
      <c r="F22" s="4" t="s">
        <v>7</v>
      </c>
      <c r="G22" s="4" t="s">
        <v>8</v>
      </c>
      <c r="H22" s="4" t="s">
        <v>9</v>
      </c>
    </row>
    <row r="23" customFormat="false" ht="15" hidden="false" customHeight="false" outlineLevel="0" collapsed="false">
      <c r="A23" s="5" t="s">
        <v>10</v>
      </c>
      <c r="B23" s="6" t="n">
        <v>10</v>
      </c>
      <c r="C23" s="6" t="n">
        <v>8</v>
      </c>
      <c r="D23" s="6" t="n">
        <v>3</v>
      </c>
      <c r="E23" s="6" t="n">
        <v>10</v>
      </c>
      <c r="F23" s="6" t="n">
        <v>5</v>
      </c>
      <c r="G23" s="6" t="n">
        <v>7</v>
      </c>
      <c r="H23" s="6" t="n">
        <v>25</v>
      </c>
    </row>
    <row r="24" customFormat="false" ht="15" hidden="false" customHeight="false" outlineLevel="0" collapsed="false">
      <c r="A24" s="5" t="s">
        <v>11</v>
      </c>
      <c r="B24" s="6" t="n">
        <v>10</v>
      </c>
      <c r="C24" s="6" t="n">
        <v>6</v>
      </c>
      <c r="D24" s="6" t="n">
        <v>5</v>
      </c>
      <c r="E24" s="6" t="n">
        <v>4</v>
      </c>
      <c r="F24" s="6" t="n">
        <v>16</v>
      </c>
      <c r="G24" s="6" t="n">
        <v>14</v>
      </c>
      <c r="H24" s="6" t="n">
        <v>14</v>
      </c>
    </row>
    <row r="25" customFormat="false" ht="15" hidden="false" customHeight="false" outlineLevel="0" collapsed="false">
      <c r="A25" s="5" t="s">
        <v>12</v>
      </c>
      <c r="B25" s="6" t="n">
        <v>10</v>
      </c>
      <c r="C25" s="6" t="n">
        <v>2</v>
      </c>
      <c r="D25" s="6" t="n">
        <v>14</v>
      </c>
      <c r="E25" s="6" t="n">
        <v>3</v>
      </c>
      <c r="F25" s="6" t="n">
        <v>2</v>
      </c>
      <c r="G25" s="6" t="n">
        <v>4</v>
      </c>
      <c r="H25" s="6" t="n">
        <v>18</v>
      </c>
    </row>
    <row r="26" customFormat="false" ht="15" hidden="false" customHeight="false" outlineLevel="0" collapsed="false">
      <c r="A26" s="5" t="s">
        <v>13</v>
      </c>
      <c r="B26" s="6" t="n">
        <v>10</v>
      </c>
      <c r="C26" s="6" t="n">
        <v>8</v>
      </c>
      <c r="D26" s="6" t="n">
        <v>5</v>
      </c>
      <c r="E26" s="6" t="n">
        <v>18</v>
      </c>
      <c r="F26" s="6" t="n">
        <v>4</v>
      </c>
      <c r="G26" s="6" t="n">
        <v>5</v>
      </c>
      <c r="H26" s="6" t="n">
        <v>30</v>
      </c>
    </row>
    <row r="27" customFormat="false" ht="15" hidden="false" customHeight="false" outlineLevel="0" collapsed="false">
      <c r="A27" s="5" t="s">
        <v>14</v>
      </c>
      <c r="B27" s="6" t="n">
        <v>10</v>
      </c>
      <c r="C27" s="6" t="n">
        <v>2</v>
      </c>
      <c r="D27" s="6" t="n">
        <v>4</v>
      </c>
      <c r="E27" s="6" t="n">
        <v>2</v>
      </c>
      <c r="F27" s="6" t="n">
        <v>6</v>
      </c>
      <c r="G27" s="6" t="n">
        <v>12</v>
      </c>
      <c r="H27" s="6" t="n">
        <v>10</v>
      </c>
    </row>
    <row r="30" customFormat="false" ht="15" hidden="false" customHeight="false" outlineLevel="0" collapsed="false">
      <c r="A30" s="3" t="s">
        <v>44</v>
      </c>
    </row>
    <row r="31" customFormat="false" ht="15" hidden="false" customHeight="false" outlineLevel="0" collapsed="false">
      <c r="A31" s="7" t="s">
        <v>16</v>
      </c>
      <c r="B31" s="4" t="s">
        <v>3</v>
      </c>
      <c r="C31" s="4" t="s">
        <v>4</v>
      </c>
      <c r="D31" s="4" t="s">
        <v>5</v>
      </c>
      <c r="E31" s="4" t="s">
        <v>6</v>
      </c>
      <c r="F31" s="4" t="s">
        <v>7</v>
      </c>
      <c r="G31" s="4" t="s">
        <v>8</v>
      </c>
      <c r="H31" s="4" t="s">
        <v>9</v>
      </c>
    </row>
    <row r="32" customFormat="false" ht="15" hidden="false" customHeight="false" outlineLevel="0" collapsed="false">
      <c r="A32" s="12" t="s">
        <v>45</v>
      </c>
      <c r="B32" s="6" t="n">
        <v>1</v>
      </c>
      <c r="C32" s="6" t="n">
        <v>0.8</v>
      </c>
      <c r="D32" s="6" t="n">
        <v>0.6</v>
      </c>
      <c r="E32" s="6" t="n">
        <v>2.5</v>
      </c>
      <c r="F32" s="6" t="n">
        <v>0.5</v>
      </c>
      <c r="G32" s="6" t="n">
        <v>0.6</v>
      </c>
      <c r="H32" s="6" t="n">
        <v>20</v>
      </c>
    </row>
    <row r="33" customFormat="false" ht="15" hidden="false" customHeight="false" outlineLevel="0" collapsed="false">
      <c r="A33" s="12" t="s">
        <v>46</v>
      </c>
      <c r="B33" s="6" t="n">
        <v>1</v>
      </c>
      <c r="C33" s="6" t="n">
        <v>0.3</v>
      </c>
      <c r="D33" s="6" t="n">
        <v>1.5</v>
      </c>
      <c r="E33" s="6" t="n">
        <v>0.5</v>
      </c>
      <c r="F33" s="6" t="n">
        <v>0.3</v>
      </c>
      <c r="G33" s="6" t="n">
        <v>0.4</v>
      </c>
      <c r="H33" s="6" t="n">
        <v>3</v>
      </c>
    </row>
    <row r="34" customFormat="false" ht="15" hidden="false" customHeight="false" outlineLevel="0" collapsed="false">
      <c r="A34" s="12" t="s">
        <v>47</v>
      </c>
      <c r="B34" s="6" t="n">
        <v>1</v>
      </c>
      <c r="C34" s="6" t="n">
        <v>1.1</v>
      </c>
      <c r="D34" s="6" t="n">
        <v>0.4</v>
      </c>
      <c r="E34" s="6" t="n">
        <v>0.9</v>
      </c>
      <c r="F34" s="6" t="n">
        <v>0.7</v>
      </c>
      <c r="G34" s="6" t="n">
        <v>1.3</v>
      </c>
      <c r="H34" s="6" t="n">
        <v>2.5</v>
      </c>
    </row>
    <row r="35" customFormat="false" ht="15" hidden="false" customHeight="false" outlineLevel="0" collapsed="false">
      <c r="A35" s="12" t="s">
        <v>48</v>
      </c>
      <c r="B35" s="6" t="n">
        <v>1</v>
      </c>
      <c r="C35" s="6" t="n">
        <v>0.2</v>
      </c>
      <c r="D35" s="6" t="n">
        <v>1.6</v>
      </c>
      <c r="E35" s="6" t="n">
        <v>0.3</v>
      </c>
      <c r="F35" s="6" t="n">
        <v>0.2</v>
      </c>
      <c r="G35" s="6" t="n">
        <v>0.5</v>
      </c>
      <c r="H35" s="6" t="n">
        <v>2</v>
      </c>
    </row>
    <row r="36" customFormat="false" ht="15" hidden="false" customHeight="false" outlineLevel="0" collapsed="false">
      <c r="A36" s="12" t="s">
        <v>49</v>
      </c>
      <c r="B36" s="6" t="n">
        <v>1</v>
      </c>
      <c r="C36" s="6" t="n">
        <v>0.8</v>
      </c>
      <c r="D36" s="6" t="n">
        <v>0.5</v>
      </c>
      <c r="E36" s="6" t="n">
        <v>2.2</v>
      </c>
      <c r="F36" s="6" t="n">
        <v>0.4</v>
      </c>
      <c r="G36" s="6" t="n">
        <v>0.5</v>
      </c>
      <c r="H36" s="6" t="n">
        <v>2</v>
      </c>
    </row>
    <row r="37" customFormat="false" ht="15" hidden="false" customHeight="false" outlineLevel="0" collapsed="false">
      <c r="A37" s="12" t="s">
        <v>50</v>
      </c>
      <c r="B37" s="6" t="n">
        <v>1</v>
      </c>
      <c r="C37" s="6" t="n">
        <v>0.6</v>
      </c>
      <c r="D37" s="6" t="n">
        <v>0.8</v>
      </c>
      <c r="E37" s="6" t="n">
        <v>1.5</v>
      </c>
      <c r="F37" s="6" t="n">
        <v>0.4</v>
      </c>
      <c r="G37" s="6" t="n">
        <v>0.5</v>
      </c>
      <c r="H37" s="6" t="n">
        <v>2</v>
      </c>
    </row>
    <row r="38" customFormat="false" ht="15" hidden="false" customHeight="false" outlineLevel="0" collapsed="false">
      <c r="A38" s="12" t="s">
        <v>51</v>
      </c>
      <c r="B38" s="6" t="n">
        <v>1</v>
      </c>
      <c r="C38" s="6" t="n">
        <v>1</v>
      </c>
      <c r="D38" s="6" t="n">
        <v>0.8</v>
      </c>
      <c r="E38" s="6" t="n">
        <v>0.7</v>
      </c>
      <c r="F38" s="6" t="n">
        <v>1.3</v>
      </c>
      <c r="G38" s="6" t="n">
        <v>1.4</v>
      </c>
      <c r="H38" s="6" t="n">
        <v>0.9</v>
      </c>
    </row>
    <row r="39" customFormat="false" ht="15" hidden="false" customHeight="false" outlineLevel="0" collapsed="false">
      <c r="A39" s="12" t="s">
        <v>52</v>
      </c>
      <c r="B39" s="6" t="n">
        <v>1</v>
      </c>
      <c r="C39" s="6" t="n">
        <v>0.7</v>
      </c>
      <c r="D39" s="6" t="n">
        <v>0.6</v>
      </c>
      <c r="E39" s="6" t="n">
        <v>0.4</v>
      </c>
      <c r="F39" s="6" t="n">
        <v>0.8</v>
      </c>
      <c r="G39" s="6" t="n">
        <v>2</v>
      </c>
      <c r="H39" s="6" t="n">
        <v>1</v>
      </c>
    </row>
    <row r="40" customFormat="false" ht="15" hidden="false" customHeight="false" outlineLevel="0" collapsed="false">
      <c r="A40" s="12" t="s">
        <v>53</v>
      </c>
      <c r="B40" s="6" t="n">
        <v>1</v>
      </c>
      <c r="C40" s="6" t="n">
        <v>1</v>
      </c>
      <c r="D40" s="6" t="n">
        <v>1</v>
      </c>
      <c r="E40" s="6" t="n">
        <v>0.9</v>
      </c>
      <c r="F40" s="6" t="n">
        <v>1</v>
      </c>
      <c r="G40" s="6" t="n">
        <v>1.5</v>
      </c>
      <c r="H40" s="6" t="n">
        <v>1.2</v>
      </c>
    </row>
    <row r="41" customFormat="false" ht="15" hidden="false" customHeight="false" outlineLevel="0" collapsed="false">
      <c r="A41" s="12" t="s">
        <v>54</v>
      </c>
      <c r="B41" s="6" t="n">
        <v>1</v>
      </c>
      <c r="C41" s="6" t="n">
        <v>0.9</v>
      </c>
      <c r="D41" s="6" t="n">
        <v>0.8</v>
      </c>
      <c r="E41" s="6" t="n">
        <v>0.6</v>
      </c>
      <c r="F41" s="6" t="n">
        <v>1.6</v>
      </c>
      <c r="G41" s="6" t="n">
        <v>1.3</v>
      </c>
      <c r="H41" s="6" t="n">
        <v>0.7</v>
      </c>
    </row>
    <row r="42" customFormat="false" ht="15" hidden="false" customHeight="false" outlineLevel="0" collapsed="false">
      <c r="A42" s="12" t="s">
        <v>55</v>
      </c>
      <c r="B42" s="6" t="n">
        <v>1</v>
      </c>
      <c r="C42" s="6" t="n">
        <v>0.5</v>
      </c>
      <c r="D42" s="6" t="n">
        <v>0.5</v>
      </c>
      <c r="E42" s="6" t="n">
        <v>1.5</v>
      </c>
      <c r="F42" s="6" t="n">
        <v>0.5</v>
      </c>
      <c r="G42" s="6" t="n">
        <v>0.5</v>
      </c>
      <c r="H42" s="6" t="n">
        <v>3</v>
      </c>
    </row>
    <row r="43" customFormat="false" ht="15" hidden="false" customHeight="false" outlineLevel="0" collapsed="false">
      <c r="A43" s="12" t="s">
        <v>56</v>
      </c>
      <c r="B43" s="6" t="n">
        <v>1</v>
      </c>
      <c r="C43" s="6" t="n">
        <v>0.3</v>
      </c>
      <c r="D43" s="6" t="n">
        <v>1.3</v>
      </c>
      <c r="E43" s="6" t="n">
        <v>0.5</v>
      </c>
      <c r="F43" s="6" t="n">
        <v>0.3</v>
      </c>
      <c r="G43" s="6" t="n">
        <v>0.5</v>
      </c>
      <c r="H43" s="6" t="n">
        <v>2</v>
      </c>
    </row>
    <row r="44" customFormat="false" ht="15" hidden="false" customHeight="false" outlineLevel="0" collapsed="false">
      <c r="A44" s="12" t="s">
        <v>57</v>
      </c>
      <c r="B44" s="6" t="n">
        <v>1</v>
      </c>
      <c r="C44" s="6" t="n">
        <v>0.5</v>
      </c>
      <c r="D44" s="6" t="n">
        <v>0.6</v>
      </c>
      <c r="E44" s="6" t="n">
        <v>0.2</v>
      </c>
      <c r="F44" s="6" t="n">
        <v>1.8</v>
      </c>
      <c r="G44" s="6" t="n">
        <v>1.5</v>
      </c>
      <c r="H44" s="6" t="n">
        <v>0.5</v>
      </c>
    </row>
    <row r="45" customFormat="false" ht="15" hidden="false" customHeight="false" outlineLevel="0" collapsed="false">
      <c r="A45" s="12" t="s">
        <v>58</v>
      </c>
      <c r="B45" s="6" t="n">
        <v>1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1.5</v>
      </c>
      <c r="H45" s="6" t="n">
        <v>1</v>
      </c>
    </row>
    <row r="48" customFormat="false" ht="15" hidden="false" customHeight="false" outlineLevel="0" collapsed="false">
      <c r="A48" s="3" t="s">
        <v>59</v>
      </c>
    </row>
    <row r="49" customFormat="false" ht="15" hidden="false" customHeight="false" outlineLevel="0" collapsed="false">
      <c r="A49" s="7" t="s">
        <v>16</v>
      </c>
      <c r="B49" s="4" t="s">
        <v>3</v>
      </c>
      <c r="C49" s="4" t="s">
        <v>4</v>
      </c>
      <c r="D49" s="4" t="s">
        <v>5</v>
      </c>
      <c r="E49" s="4" t="s">
        <v>6</v>
      </c>
      <c r="F49" s="4" t="s">
        <v>7</v>
      </c>
      <c r="G49" s="4" t="s">
        <v>8</v>
      </c>
      <c r="H49" s="4" t="s">
        <v>9</v>
      </c>
    </row>
    <row r="50" customFormat="false" ht="15" hidden="false" customHeight="false" outlineLevel="0" collapsed="false">
      <c r="A50" s="12" t="s">
        <v>21</v>
      </c>
      <c r="B50" s="11" t="n">
        <f aca="false">($B$6+$C$6*B23+$D$6*B26)*B32</f>
        <v>190</v>
      </c>
      <c r="C50" s="11" t="n">
        <f aca="false">($B$6+$C$6*C23+$D$6*C26)*C32</f>
        <v>129.6</v>
      </c>
      <c r="D50" s="11" t="n">
        <f aca="false">($B$6+$C$6*D23+$D$6*D26)*D32</f>
        <v>69.6</v>
      </c>
      <c r="E50" s="11" t="n">
        <f aca="false">($B$6+$C$6*E23+$D$6*E26)*E32</f>
        <v>715</v>
      </c>
      <c r="F50" s="11" t="n">
        <f aca="false">($B$6+$C$6*F23+$D$6*F26)*F32</f>
        <v>54</v>
      </c>
      <c r="G50" s="11" t="n">
        <f aca="false">($B$6+$C$6*G23+$D$6*G26)*G32</f>
        <v>74.4</v>
      </c>
      <c r="H50" s="11" t="n">
        <f aca="false">($B$6+$C$6*H23+$D$6*H26)*H32</f>
        <v>9200</v>
      </c>
    </row>
    <row r="51" customFormat="false" ht="15" hidden="false" customHeight="false" outlineLevel="0" collapsed="false">
      <c r="A51" s="12" t="s">
        <v>22</v>
      </c>
      <c r="B51" s="11" t="n">
        <f aca="false">($B$7+$C$7*B25+$D$7*B26)*B33</f>
        <v>140</v>
      </c>
      <c r="C51" s="11" t="n">
        <f aca="false">($B$7+$C$7*C25+$D$7*C26)*C33</f>
        <v>17.4</v>
      </c>
      <c r="D51" s="11" t="n">
        <f aca="false">($B$7+$C$7*D25+$D$7*D26)*D33</f>
        <v>262.5</v>
      </c>
      <c r="E51" s="11" t="n">
        <f aca="false">($B$7+$C$7*E25+$D$7*E26)*E33</f>
        <v>39</v>
      </c>
      <c r="F51" s="11" t="n">
        <f aca="false">($B$7+$C$7*F25+$D$7*F26)*F33</f>
        <v>16.2</v>
      </c>
      <c r="G51" s="11" t="n">
        <f aca="false">($B$7+$C$7*G25+$D$7*G26)*G33</f>
        <v>30</v>
      </c>
      <c r="H51" s="11" t="n">
        <f aca="false">($B$7+$C$7*H25+$D$7*H26)*H33</f>
        <v>720</v>
      </c>
    </row>
    <row r="52" customFormat="false" ht="15" hidden="false" customHeight="false" outlineLevel="0" collapsed="false">
      <c r="A52" s="12" t="s">
        <v>23</v>
      </c>
      <c r="B52" s="11" t="n">
        <f aca="false">($B$8+$C$8*B23+$D$8*B24)*B34</f>
        <v>30</v>
      </c>
      <c r="C52" s="11" t="n">
        <f aca="false">($B$8+$C$8*C23+$D$8*C24)*C34</f>
        <v>24.64</v>
      </c>
      <c r="D52" s="11" t="n">
        <f aca="false">($B$8+$C$8*D23+$D$8*D24)*D34</f>
        <v>4.24</v>
      </c>
      <c r="E52" s="11" t="n">
        <f aca="false">($B$8+$C$8*E23+$D$8*E24)*E34</f>
        <v>22.68</v>
      </c>
      <c r="F52" s="11" t="n">
        <f aca="false">($B$8+$C$8*F23+$D$8*F24)*F34</f>
        <v>16.66</v>
      </c>
      <c r="G52" s="11" t="n">
        <f aca="false">($B$8+$C$8*G23+$D$8*G24)*G34</f>
        <v>34.58</v>
      </c>
      <c r="H52" s="11" t="n">
        <f aca="false">($B$8+$C$8*H23+$D$8*H24)*H34</f>
        <v>165.5</v>
      </c>
    </row>
    <row r="53" customFormat="false" ht="15" hidden="false" customHeight="false" outlineLevel="0" collapsed="false">
      <c r="A53" s="12" t="s">
        <v>24</v>
      </c>
      <c r="B53" s="11" t="n">
        <f aca="false">($B$9+$C$9*B25+$D$9*B27)*B35</f>
        <v>28</v>
      </c>
      <c r="C53" s="11" t="n">
        <f aca="false">($B$9+$C$9*C25+$D$9*C27)*C35</f>
        <v>1.12</v>
      </c>
      <c r="D53" s="11" t="n">
        <f aca="false">($B$9+$C$9*D25+$D$9*D27)*D35</f>
        <v>57.92</v>
      </c>
      <c r="E53" s="11" t="n">
        <f aca="false">($B$9+$C$9*E25+$D$9*E27)*E35</f>
        <v>2.43</v>
      </c>
      <c r="F53" s="11" t="n">
        <f aca="false">($B$9+$C$9*F25+$D$9*F27)*F35</f>
        <v>1.36</v>
      </c>
      <c r="G53" s="11" t="n">
        <f aca="false">($B$9+$C$9*G25+$D$9*G27)*G35</f>
        <v>6.8</v>
      </c>
      <c r="H53" s="11" t="n">
        <f aca="false">($B$9+$C$9*H25+$D$9*H27)*H35</f>
        <v>96</v>
      </c>
    </row>
    <row r="54" customFormat="false" ht="15" hidden="false" customHeight="false" outlineLevel="0" collapsed="false">
      <c r="A54" s="12" t="s">
        <v>25</v>
      </c>
      <c r="B54" s="11" t="n">
        <f aca="false">($B$10+$C$10*B26+$D$10*B23)*B36</f>
        <v>20</v>
      </c>
      <c r="C54" s="11" t="n">
        <f aca="false">($B$10+$C$10*C26+$D$10*C23)*C36</f>
        <v>12.8</v>
      </c>
      <c r="D54" s="11" t="n">
        <f aca="false">($B$10+$C$10*D26+$D$10*D23)*D36</f>
        <v>4.5</v>
      </c>
      <c r="E54" s="11" t="n">
        <f aca="false">($B$10+$C$10*E26+$D$10*E23)*E36</f>
        <v>70.4</v>
      </c>
      <c r="F54" s="11" t="n">
        <f aca="false">($B$10+$C$10*F26+$D$10*F23)*F36</f>
        <v>3.4</v>
      </c>
      <c r="G54" s="11" t="n">
        <f aca="false">($B$10+$C$10*G26+$D$10*G23)*G36</f>
        <v>5.5</v>
      </c>
      <c r="H54" s="11" t="n">
        <f aca="false">($B$10+$C$10*H26+$D$10*H23)*H36</f>
        <v>115</v>
      </c>
    </row>
    <row r="55" customFormat="false" ht="15" hidden="false" customHeight="false" outlineLevel="0" collapsed="false">
      <c r="A55" s="12" t="s">
        <v>26</v>
      </c>
      <c r="B55" s="11" t="n">
        <f aca="false">($B$11+$C$11*B25+$D$11*B26)*B37</f>
        <v>18</v>
      </c>
      <c r="C55" s="11" t="n">
        <f aca="false">($B$11+$C$11*C25+$D$11*C26)*C37</f>
        <v>5.04</v>
      </c>
      <c r="D55" s="11" t="n">
        <f aca="false">($B$11+$C$11*D25+$D$11*D26)*D37</f>
        <v>14.4</v>
      </c>
      <c r="E55" s="11" t="n">
        <f aca="false">($B$11+$C$11*E25+$D$11*E26)*E37</f>
        <v>26.1</v>
      </c>
      <c r="F55" s="11" t="n">
        <f aca="false">($B$11+$C$11*F25+$D$11*F26)*F37</f>
        <v>2.08</v>
      </c>
      <c r="G55" s="11" t="n">
        <f aca="false">($B$11+$C$11*G25+$D$11*G26)*G37</f>
        <v>4</v>
      </c>
      <c r="H55" s="11" t="n">
        <f aca="false">($B$11+$C$11*H25+$D$11*H26)*H37</f>
        <v>84</v>
      </c>
    </row>
    <row r="56" customFormat="false" ht="15" hidden="false" customHeight="false" outlineLevel="0" collapsed="false">
      <c r="A56" s="12" t="s">
        <v>27</v>
      </c>
      <c r="B56" s="11" t="n">
        <f aca="false">(MIN(MAX($B$12+$C$12*B24,$E$12),$F$12))*B38</f>
        <v>0.95</v>
      </c>
      <c r="C56" s="11" t="n">
        <f aca="false">(MIN(MAX($B$12+$C$12*C24,$E$12),$F$12))*C38</f>
        <v>0.89</v>
      </c>
      <c r="D56" s="11" t="n">
        <f aca="false">(MIN(MAX($B$12+$C$12*D24,$E$12),$F$12))*D38</f>
        <v>0.7</v>
      </c>
      <c r="E56" s="11" t="n">
        <f aca="false">(MIN(MAX($B$12+$C$12*E24,$E$12),$F$12))*E38</f>
        <v>0.602</v>
      </c>
      <c r="F56" s="11" t="n">
        <f aca="false">(MIN(MAX($B$12+$C$12*F24,$E$12),$F$12))*F38</f>
        <v>1.352</v>
      </c>
      <c r="G56" s="11" t="n">
        <f aca="false">(MIN(MAX($B$12+$C$12*G24,$E$12),$F$12))*G38</f>
        <v>1.414</v>
      </c>
      <c r="H56" s="11" t="n">
        <f aca="false">(MIN(MAX($B$12+$C$12*H24,$E$12),$F$12))*H38</f>
        <v>0.909</v>
      </c>
    </row>
    <row r="57" customFormat="false" ht="15" hidden="false" customHeight="false" outlineLevel="0" collapsed="false">
      <c r="A57" s="12" t="s">
        <v>28</v>
      </c>
      <c r="B57" s="11" t="n">
        <f aca="false">(MIN(MAX($B$13+$C$13*B27+$D$13*B24,$E$13),$F$13))*B39</f>
        <v>9</v>
      </c>
      <c r="C57" s="11" t="n">
        <f aca="false">(MIN(MAX($B$13+$C$13*C27+$D$13*C24,$E$13),$F$13))*C39</f>
        <v>4.2</v>
      </c>
      <c r="D57" s="11" t="n">
        <f aca="false">(MIN(MAX($B$13+$C$13*D27+$D$13*D24,$E$13),$F$13))*D39</f>
        <v>3.99</v>
      </c>
      <c r="E57" s="11" t="n">
        <f aca="false">(MIN(MAX($B$13+$C$13*E27+$D$13*E24,$E$13),$F$13))*E39</f>
        <v>2.36</v>
      </c>
      <c r="F57" s="11" t="n">
        <f aca="false">(MIN(MAX($B$13+$C$13*F27+$D$13*F24,$E$13),$F$13))*F39</f>
        <v>6.32</v>
      </c>
      <c r="G57" s="11" t="n">
        <f aca="false">(MIN(MAX($B$13+$C$13*G27+$D$13*G24,$E$13),$F$13))*G39</f>
        <v>19.8</v>
      </c>
      <c r="H57" s="11" t="n">
        <f aca="false">(MIN(MAX($B$13+$C$13*H27+$D$13*H24,$E$13),$F$13))*H39</f>
        <v>9.2</v>
      </c>
    </row>
    <row r="58" customFormat="false" ht="15" hidden="false" customHeight="false" outlineLevel="0" collapsed="false">
      <c r="A58" s="12" t="s">
        <v>29</v>
      </c>
      <c r="B58" s="11" t="n">
        <f aca="false">($B$14+$C$14*B27)*B40</f>
        <v>158</v>
      </c>
      <c r="C58" s="11" t="n">
        <f aca="false">($B$14+$C$14*C27)*C40</f>
        <v>151.6</v>
      </c>
      <c r="D58" s="11" t="n">
        <f aca="false">($B$14+$C$14*D27)*D40</f>
        <v>153.2</v>
      </c>
      <c r="E58" s="11" t="n">
        <f aca="false">($B$14+$C$14*E27)*E40</f>
        <v>136.44</v>
      </c>
      <c r="F58" s="11" t="n">
        <f aca="false">($B$14+$C$14*F27)*F40</f>
        <v>154.8</v>
      </c>
      <c r="G58" s="11" t="n">
        <f aca="false">($B$14+$C$14*G27)*G40</f>
        <v>239.4</v>
      </c>
      <c r="H58" s="11" t="n">
        <f aca="false">($B$14+$C$14*H27)*H40</f>
        <v>189.6</v>
      </c>
    </row>
    <row r="59" customFormat="false" ht="15" hidden="false" customHeight="false" outlineLevel="0" collapsed="false">
      <c r="A59" s="12" t="s">
        <v>30</v>
      </c>
      <c r="B59" s="11" t="n">
        <f aca="false">($B$15+$C$15*B24)*B41</f>
        <v>3.2</v>
      </c>
      <c r="C59" s="11" t="n">
        <f aca="false">($B$15+$C$15*C24)*C41</f>
        <v>2.808</v>
      </c>
      <c r="D59" s="11" t="n">
        <f aca="false">($B$15+$C$15*D24)*D41</f>
        <v>2.48</v>
      </c>
      <c r="E59" s="11" t="n">
        <f aca="false">($B$15+$C$15*E24)*E41</f>
        <v>1.848</v>
      </c>
      <c r="F59" s="11" t="n">
        <f aca="false">($B$15+$C$15*F24)*F41</f>
        <v>5.312</v>
      </c>
      <c r="G59" s="11" t="n">
        <f aca="false">($B$15+$C$15*G24)*G41</f>
        <v>4.264</v>
      </c>
      <c r="H59" s="11" t="n">
        <f aca="false">($B$15+$C$15*H24)*H41</f>
        <v>2.296</v>
      </c>
    </row>
    <row r="60" customFormat="false" ht="15" hidden="false" customHeight="false" outlineLevel="0" collapsed="false">
      <c r="A60" s="12" t="s">
        <v>31</v>
      </c>
      <c r="B60" s="11" t="n">
        <f aca="false">($B$16+$C$16*B26)*B42</f>
        <v>2</v>
      </c>
      <c r="C60" s="11" t="n">
        <f aca="false">($B$16+$C$16*C26)*C42</f>
        <v>0.9</v>
      </c>
      <c r="D60" s="11" t="n">
        <f aca="false">($B$16+$C$16*D26)*D42</f>
        <v>0.75</v>
      </c>
      <c r="E60" s="11" t="n">
        <f aca="false">($B$16+$C$16*E26)*E42</f>
        <v>4.2</v>
      </c>
      <c r="F60" s="11" t="n">
        <f aca="false">($B$16+$C$16*F26)*F42</f>
        <v>0.7</v>
      </c>
      <c r="G60" s="11" t="n">
        <f aca="false">($B$16+$C$16*G26)*G42</f>
        <v>0.75</v>
      </c>
      <c r="H60" s="11" t="n">
        <f aca="false">($B$16+$C$16*H26)*H42</f>
        <v>12</v>
      </c>
    </row>
    <row r="61" customFormat="false" ht="15" hidden="false" customHeight="false" outlineLevel="0" collapsed="false">
      <c r="A61" s="12" t="s">
        <v>32</v>
      </c>
      <c r="B61" s="11" t="n">
        <f aca="false">($B$17+$C$17*B25)*B43</f>
        <v>1.8</v>
      </c>
      <c r="C61" s="11" t="n">
        <f aca="false">($B$17+$C$17*C25)*C43</f>
        <v>0.348</v>
      </c>
      <c r="D61" s="11" t="n">
        <f aca="false">($B$17+$C$17*D25)*D43</f>
        <v>2.756</v>
      </c>
      <c r="E61" s="11" t="n">
        <f aca="false">($B$17+$C$17*E25)*E43</f>
        <v>0.62</v>
      </c>
      <c r="F61" s="11" t="n">
        <f aca="false">($B$17+$C$17*F25)*F43</f>
        <v>0.348</v>
      </c>
      <c r="G61" s="11" t="n">
        <f aca="false">($B$17+$C$17*G25)*G43</f>
        <v>0.66</v>
      </c>
      <c r="H61" s="11" t="n">
        <f aca="false">($B$17+$C$17*H25)*H43</f>
        <v>4.88</v>
      </c>
    </row>
    <row r="62" customFormat="false" ht="15" hidden="false" customHeight="false" outlineLevel="0" collapsed="false">
      <c r="A62" s="12" t="s">
        <v>33</v>
      </c>
      <c r="B62" s="11" t="n">
        <f aca="false">(MIN(MAX($C$18*B24+$D$18*B27,$E$18),$F$18))*B44</f>
        <v>3.5</v>
      </c>
      <c r="C62" s="11" t="n">
        <f aca="false">(MIN(MAX($C$18*C24+$D$18*C27,$E$18),$F$18))*C44</f>
        <v>0.85</v>
      </c>
      <c r="D62" s="11" t="n">
        <f aca="false">(MIN(MAX($C$18*D24+$D$18*D27,$E$18),$F$18))*D44</f>
        <v>0.99</v>
      </c>
      <c r="E62" s="11" t="n">
        <f aca="false">(MIN(MAX($C$18*E24+$D$18*E27,$E$18),$F$18))*E44</f>
        <v>0.24</v>
      </c>
      <c r="F62" s="11" t="n">
        <f aca="false">(MIN(MAX($C$18*F24+$D$18*F27,$E$18),$F$18))*F44</f>
        <v>8.28</v>
      </c>
      <c r="G62" s="11" t="n">
        <f aca="false">(MIN(MAX($C$18*G24+$D$18*G27,$E$18),$F$18))*G44</f>
        <v>7.05</v>
      </c>
      <c r="H62" s="11" t="n">
        <f aca="false">(MIN(MAX($C$18*H24+$D$18*H27,$E$18),$F$18))*H44</f>
        <v>2.25</v>
      </c>
    </row>
    <row r="63" customFormat="false" ht="15" hidden="false" customHeight="false" outlineLevel="0" collapsed="false">
      <c r="A63" s="12" t="s">
        <v>34</v>
      </c>
      <c r="B63" s="11" t="n">
        <f aca="false">($C$19*B27)*B45</f>
        <v>0.5</v>
      </c>
      <c r="C63" s="11" t="n">
        <f aca="false">($C$19*C27)*C45</f>
        <v>0</v>
      </c>
      <c r="D63" s="11" t="n">
        <f aca="false">($C$19*D27)*D45</f>
        <v>0</v>
      </c>
      <c r="E63" s="11" t="n">
        <f aca="false">($C$19*E27)*E45</f>
        <v>0</v>
      </c>
      <c r="F63" s="11" t="n">
        <f aca="false">($C$19*F27)*F45</f>
        <v>0</v>
      </c>
      <c r="G63" s="11" t="n">
        <f aca="false">($C$19*G27)*G45</f>
        <v>0.9</v>
      </c>
      <c r="H63" s="11" t="n">
        <f aca="false">($C$19*H27)*H45</f>
        <v>0.5</v>
      </c>
    </row>
    <row r="64" customFormat="false" ht="15" hidden="false" customHeight="false" outlineLevel="0" collapsed="false">
      <c r="A64" s="12" t="s">
        <v>60</v>
      </c>
      <c r="B64" s="6" t="n">
        <v>0</v>
      </c>
      <c r="C64" s="6" t="n">
        <v>0</v>
      </c>
      <c r="D64" s="6" t="n">
        <v>0</v>
      </c>
      <c r="E64" s="6" t="n">
        <v>30</v>
      </c>
      <c r="F64" s="6" t="n">
        <v>0</v>
      </c>
      <c r="G64" s="6" t="n">
        <v>0</v>
      </c>
      <c r="H64" s="6" t="n">
        <v>90</v>
      </c>
    </row>
    <row r="65" customFormat="false" ht="15" hidden="false" customHeight="false" outlineLevel="0" collapsed="false">
      <c r="A65" s="12" t="s">
        <v>61</v>
      </c>
      <c r="B65" s="6" t="n">
        <v>1.5</v>
      </c>
      <c r="C65" s="6" t="n">
        <v>1.5</v>
      </c>
      <c r="D65" s="6" t="n">
        <v>8</v>
      </c>
      <c r="E65" s="6" t="n">
        <v>1.8</v>
      </c>
      <c r="F65" s="6" t="n">
        <v>1.2</v>
      </c>
      <c r="G65" s="6" t="n">
        <v>1.8</v>
      </c>
      <c r="H65" s="6" t="n">
        <v>3</v>
      </c>
    </row>
    <row r="68" customFormat="false" ht="15" hidden="false" customHeight="false" outlineLevel="0" collapsed="false">
      <c r="A68" s="13" t="s">
        <v>62</v>
      </c>
    </row>
    <row r="69" customFormat="false" ht="15" hidden="false" customHeight="false" outlineLevel="0" collapsed="false">
      <c r="A69" s="1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2026-06-30T08:23:32Z</dcterms:created>
  <dc:creator>openpyxl</dc:creator>
  <dc:description/>
  <dc:language>en-US</dc:language>
  <cp:lastModifiedBy/>
  <dcterms:modified xsi:type="dcterms:W3CDTF">2026-06-30T08:24:20Z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