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-Entity Formula" sheetId="1" state="visible" r:id="rId3"/>
    <sheet name="Base Formula + Multipli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<sst xmlns="http://schemas.openxmlformats.org/spreadsheetml/2006/main" count="765" uniqueCount="174">
  <si>
    <t xml:space="preserve">PER-ENTITY STAT FORMULA — mỗi loài có công thức + hệ số riêng</t>
  </si>
  <si>
    <t xml:space="preserve">Cột 'Công thức' hiển thị rõ phép tính. Cột 'Result' tự tính theo Primary stat (ô xanh, sửa được) ở đầu mỗi bảng.</t>
  </si>
  <si>
    <t xml:space="preserve">  PLAYER</t>
  </si>
  <si>
    <t xml:space="preserve">Primary Stats</t>
  </si>
  <si>
    <t xml:space="preserve">STR=10  |  DEX=10  |  INT=10  |  VIT=10  |  LUK=10</t>
  </si>
  <si>
    <t xml:space="preserve">STR</t>
  </si>
  <si>
    <t xml:space="preserve">DEX</t>
  </si>
  <si>
    <t xml:space="preserve">INT</t>
  </si>
  <si>
    <t xml:space="preserve">VIT</t>
  </si>
  <si>
    <t xml:space="preserve">LUK</t>
  </si>
  <si>
    <t xml:space="preserve">Stat</t>
  </si>
  <si>
    <t xml:space="preserve">Công thức</t>
  </si>
  <si>
    <t xml:space="preserve">Đơn vị</t>
  </si>
  <si>
    <t xml:space="preserve">Result</t>
  </si>
  <si>
    <t xml:space="preserve">MaxHP</t>
  </si>
  <si>
    <t xml:space="preserve">MaxHP = 50 + STR*2 + VIT*12</t>
  </si>
  <si>
    <t xml:space="preserve">HP</t>
  </si>
  <si>
    <t xml:space="preserve">MaxMana</t>
  </si>
  <si>
    <t xml:space="preserve">MaxMana = 30 + INT*10 + VIT*1</t>
  </si>
  <si>
    <t xml:space="preserve">Mana</t>
  </si>
  <si>
    <t xml:space="preserve">PhysicalDamage</t>
  </si>
  <si>
    <t xml:space="preserve">PhysicalDamage = STR*2.2 + DEX*0.8</t>
  </si>
  <si>
    <t xml:space="preserve">dmg/hit</t>
  </si>
  <si>
    <t xml:space="preserve">MagicDamage</t>
  </si>
  <si>
    <t xml:space="preserve">MagicDamage = INT*2.5 + LUK*0.3</t>
  </si>
  <si>
    <t xml:space="preserve">Defense</t>
  </si>
  <si>
    <t xml:space="preserve">Defense = VIT*1.5 + STR*0.5</t>
  </si>
  <si>
    <t xml:space="preserve">flat</t>
  </si>
  <si>
    <t xml:space="preserve">MagicDefense</t>
  </si>
  <si>
    <t xml:space="preserve">MagicDefense = INT*1 + VIT*0.8</t>
  </si>
  <si>
    <t xml:space="preserve">AttackSpeed</t>
  </si>
  <si>
    <t xml:space="preserve">AttackSpeed = clamp(0.8 + DEX*0.015, 0.3, 3)</t>
  </si>
  <si>
    <t xml:space="preserve">hits/s</t>
  </si>
  <si>
    <t xml:space="preserve">CritChance</t>
  </si>
  <si>
    <t xml:space="preserve">CritChance = clamp(5 + LUK*0.35 + DEX*0.05, 0, 80)</t>
  </si>
  <si>
    <t xml:space="preserve">%</t>
  </si>
  <si>
    <t xml:space="preserve">CritDamage</t>
  </si>
  <si>
    <t xml:space="preserve">CritDamage = 150 + LUK*0.8</t>
  </si>
  <si>
    <t xml:space="preserve">MoveSpeed</t>
  </si>
  <si>
    <t xml:space="preserve">MoveSpeed = 3 + DEX*0.02</t>
  </si>
  <si>
    <t xml:space="preserve">m/s</t>
  </si>
  <si>
    <t xml:space="preserve">HPRegen</t>
  </si>
  <si>
    <t xml:space="preserve">HPRegen = 1 + VIT*0.1</t>
  </si>
  <si>
    <t xml:space="preserve">HP/s</t>
  </si>
  <si>
    <t xml:space="preserve">ManaRegen</t>
  </si>
  <si>
    <t xml:space="preserve">ManaRegen = 1 + INT*0.08</t>
  </si>
  <si>
    <t xml:space="preserve">Mana/s</t>
  </si>
  <si>
    <t xml:space="preserve">Evasion</t>
  </si>
  <si>
    <t xml:space="preserve">Evasion = clamp(DEX*0.25 + LUK*0.1, 0, 75)</t>
  </si>
  <si>
    <t xml:space="preserve">LifeSteal</t>
  </si>
  <si>
    <t xml:space="preserve">LifeSteal = LUK*0.05</t>
  </si>
  <si>
    <t xml:space="preserve">CrowdControlResist</t>
  </si>
  <si>
    <t xml:space="preserve">CrowdControlResist = 0  (cố định)</t>
  </si>
  <si>
    <t xml:space="preserve">AttackRange</t>
  </si>
  <si>
    <t xml:space="preserve">AttackRange = 1.5  (cố định)</t>
  </si>
  <si>
    <t xml:space="preserve">m</t>
  </si>
  <si>
    <t xml:space="preserve">  TRASH MELEE</t>
  </si>
  <si>
    <t xml:space="preserve">STR=8  |  DEX=6  |  INT=2  |  VIT=8  |  LUK=2</t>
  </si>
  <si>
    <t xml:space="preserve">MaxHP = 30 + STR*1.5 + VIT*13</t>
  </si>
  <si>
    <t xml:space="preserve">MaxMana = 10 + INT*5 + VIT*0</t>
  </si>
  <si>
    <t xml:space="preserve">PhysicalDamage = 2 + STR*2.6 + DEX*0.5</t>
  </si>
  <si>
    <t xml:space="preserve">MagicDamage = INT*0.7 + LUK*0.1</t>
  </si>
  <si>
    <t xml:space="preserve">Defense = VIT*1 + STR*0.3</t>
  </si>
  <si>
    <t xml:space="preserve">MagicDefense = INT*0.5 + VIT*0.4</t>
  </si>
  <si>
    <t xml:space="preserve">CritChance = clamp(3 + LUK*0.2 + DEX*0.03, 0, 80)</t>
  </si>
  <si>
    <t xml:space="preserve">CritDamage = 150 + LUK*0</t>
  </si>
  <si>
    <t xml:space="preserve">MoveSpeed = 2.7 + DEX*0.015</t>
  </si>
  <si>
    <t xml:space="preserve">HPRegen = 0.3 + VIT*0.05</t>
  </si>
  <si>
    <t xml:space="preserve">ManaRegen = 0.2 + INT*0.03</t>
  </si>
  <si>
    <t xml:space="preserve">Evasion = clamp(DEX*0.15 + LUK*0.05, 0, 75)</t>
  </si>
  <si>
    <t xml:space="preserve">LifeSteal = LUK*0</t>
  </si>
  <si>
    <t xml:space="preserve">  RANGED CASTER</t>
  </si>
  <si>
    <t xml:space="preserve">STR=3  |  DEX=5  |  INT=14  |  VIT=5  |  LUK=4</t>
  </si>
  <si>
    <t xml:space="preserve">MaxHP = 20 + STR*0.5 + VIT*8</t>
  </si>
  <si>
    <t xml:space="preserve">MaxMana = 40 + INT*14 + VIT*0.5</t>
  </si>
  <si>
    <t xml:space="preserve">PhysicalDamage = STR*1 + DEX*0.5</t>
  </si>
  <si>
    <t xml:space="preserve">MagicDamage = 5 + INT*3.6 + LUK*0.3</t>
  </si>
  <si>
    <t xml:space="preserve">Defense = VIT*0.8 + STR*0.1</t>
  </si>
  <si>
    <t xml:space="preserve">MagicDefense = INT*1 + VIT*0.5</t>
  </si>
  <si>
    <t xml:space="preserve">AttackSpeed = clamp(0.5 + DEX*0.012, 0.3, 3)</t>
  </si>
  <si>
    <t xml:space="preserve">MoveSpeed = 2.5 + DEX*0.012</t>
  </si>
  <si>
    <t xml:space="preserve">ManaRegen = 1.5 + INT*0.1</t>
  </si>
  <si>
    <t xml:space="preserve">AttackRange = 8  (cố định)</t>
  </si>
  <si>
    <t xml:space="preserve">  TANK</t>
  </si>
  <si>
    <t xml:space="preserve">STR=10  |  DEX=4  |  INT=3  |  VIT=18  |  LUK=2</t>
  </si>
  <si>
    <t xml:space="preserve">MaxHP = 80 + STR*3 + VIT*20</t>
  </si>
  <si>
    <t xml:space="preserve">MaxMana = 15 + INT*4 + VIT*0.5</t>
  </si>
  <si>
    <t xml:space="preserve">PhysicalDamage = STR*1.8 + DEX*0.3</t>
  </si>
  <si>
    <t xml:space="preserve">MagicDamage = INT*0.8 + LUK*0.1</t>
  </si>
  <si>
    <t xml:space="preserve">Defense = 5 + VIT*1.8 + STR*0.5</t>
  </si>
  <si>
    <t xml:space="preserve">MagicDefense = 5 + INT*0.8 + VIT*1.5</t>
  </si>
  <si>
    <t xml:space="preserve">AttackSpeed = clamp(0.5 + DEX*0.01, 0.3, 3)</t>
  </si>
  <si>
    <t xml:space="preserve">CritChance = clamp(2 + LUK*0.15 + DEX*0.02, 0, 80)</t>
  </si>
  <si>
    <t xml:space="preserve">CritDamage = 130 + LUK*0.3</t>
  </si>
  <si>
    <t xml:space="preserve">MoveSpeed = 1.8 + DEX*0.01</t>
  </si>
  <si>
    <t xml:space="preserve">HPRegen = 1 + VIT*0.15</t>
  </si>
  <si>
    <t xml:space="preserve">ManaRegen = 0.3 + INT*0.03</t>
  </si>
  <si>
    <t xml:space="preserve">Evasion = clamp(DEX*0.05 + LUK*0.02, 0, 75)</t>
  </si>
  <si>
    <t xml:space="preserve">CrowdControlResist = 30  (cố định)</t>
  </si>
  <si>
    <t xml:space="preserve">AttackRange = 1.8  (cố định)</t>
  </si>
  <si>
    <t xml:space="preserve">  FAST SWARM</t>
  </si>
  <si>
    <t xml:space="preserve">STR=5  |  DEX=16  |  INT=2  |  VIT=4  |  LUK=6</t>
  </si>
  <si>
    <t xml:space="preserve">MaxHP = 15 + STR*0.5 + VIT*6</t>
  </si>
  <si>
    <t xml:space="preserve">MaxMana = 5 + INT*4 + VIT*0</t>
  </si>
  <si>
    <t xml:space="preserve">PhysicalDamage = STR*1.5 + DEX*0.6</t>
  </si>
  <si>
    <t xml:space="preserve">MagicDamage = INT*0.5 + LUK*0.1</t>
  </si>
  <si>
    <t xml:space="preserve">Defense = VIT*0.7 + STR*0.1</t>
  </si>
  <si>
    <t xml:space="preserve">MagicDefense = INT*0.4 + VIT*0.3</t>
  </si>
  <si>
    <t xml:space="preserve">AttackSpeed = clamp(0.9 + DEX*0.025, 0.3, 3)</t>
  </si>
  <si>
    <t xml:space="preserve">CritChance = clamp(4 + LUK*0.25 + DEX*0.04, 0, 80)</t>
  </si>
  <si>
    <t xml:space="preserve">MoveSpeed = 4.5 + DEX*0.05</t>
  </si>
  <si>
    <t xml:space="preserve">Evasion = clamp(DEX*0.35 + LUK*0.15, 0, 75)</t>
  </si>
  <si>
    <t xml:space="preserve">AttackRange = 1.2  (cố định)</t>
  </si>
  <si>
    <t xml:space="preserve">  ASSASSIN</t>
  </si>
  <si>
    <t xml:space="preserve">STR=7  |  DEX=14  |  INT=4  |  VIT=5  |  LUK=12</t>
  </si>
  <si>
    <t xml:space="preserve">MaxHP = 20 + STR*0.5 + VIT*7</t>
  </si>
  <si>
    <t xml:space="preserve">MaxMana = 10 + INT*4 + VIT*0</t>
  </si>
  <si>
    <t xml:space="preserve">PhysicalDamage = STR*2 + DEX*1.4</t>
  </si>
  <si>
    <t xml:space="preserve">MagicDamage = INT*0.9 + LUK*0.2</t>
  </si>
  <si>
    <t xml:space="preserve">MagicDefense = INT*0.6 + VIT*0.4</t>
  </si>
  <si>
    <t xml:space="preserve">AttackSpeed = clamp(0.9 + DEX*0.028, 0.3, 3)</t>
  </si>
  <si>
    <t xml:space="preserve">CritChance = clamp(8 + LUK*0.6 + DEX*0.08, 0, 80)</t>
  </si>
  <si>
    <t xml:space="preserve">CritDamage = 170 + LUK*1.2</t>
  </si>
  <si>
    <t xml:space="preserve">MoveSpeed = 3.6 + DEX*0.04</t>
  </si>
  <si>
    <t xml:space="preserve">Evasion = clamp(DEX*0.3 + LUK*0.2, 0, 75)</t>
  </si>
  <si>
    <t xml:space="preserve">LifeSteal = LUK*0.12</t>
  </si>
  <si>
    <t xml:space="preserve">  BOSS</t>
  </si>
  <si>
    <t xml:space="preserve">STR=25  |  DEX=14  |  INT=18  |  VIT=30  |  LUK=10</t>
  </si>
  <si>
    <t xml:space="preserve">MaxHP = 500 + STR*8 + VIT*80</t>
  </si>
  <si>
    <t xml:space="preserve">MaxMana = 100 + INT*18 + VIT*2</t>
  </si>
  <si>
    <t xml:space="preserve">PhysicalDamage = 10 + STR*4 + DEX*1</t>
  </si>
  <si>
    <t xml:space="preserve">MagicDamage = 10 + INT*4 + LUK*0.5</t>
  </si>
  <si>
    <t xml:space="preserve">Defense = 10 + VIT*2 + STR*0.5</t>
  </si>
  <si>
    <t xml:space="preserve">MagicDefense = 10 + INT*1.5 + VIT*1.8</t>
  </si>
  <si>
    <t xml:space="preserve">AttackSpeed = clamp(0.6 + DEX*0.014, 0.3, 3)</t>
  </si>
  <si>
    <t xml:space="preserve">CritChance = clamp(5 + LUK*0.3 + DEX*0.05, 0, 80)</t>
  </si>
  <si>
    <t xml:space="preserve">CritDamage = 160 + LUK*0.5</t>
  </si>
  <si>
    <t xml:space="preserve">MoveSpeed = 2 + DEX*0.015</t>
  </si>
  <si>
    <t xml:space="preserve">HPRegen = 2 + VIT*0.3</t>
  </si>
  <si>
    <t xml:space="preserve">ManaRegen = 2 + INT*0.12</t>
  </si>
  <si>
    <t xml:space="preserve">Evasion = clamp(DEX*0.1 + LUK*0.05, 0, 75)</t>
  </si>
  <si>
    <t xml:space="preserve">CrowdControlResist = 90  (cố định)</t>
  </si>
  <si>
    <t xml:space="preserve">AttackRange = 3  (cố định)</t>
  </si>
  <si>
    <t xml:space="preserve">BASE FORMULA SYSTEM (tham khảo) — 1 công thức gốc dùng chung + multiplier riêng theo loài</t>
  </si>
  <si>
    <t xml:space="preserve">Sửa BASE COEFFICIENTS bên dưới sẽ tự lan ra công thức của TẤT CẢ entity cùng lúc.</t>
  </si>
  <si>
    <t xml:space="preserve">BASE COEFFICIENTS (dùng chung — sửa ở đây ảnh hưởng mọi loài)</t>
  </si>
  <si>
    <t xml:space="preserve">A</t>
  </si>
  <si>
    <t xml:space="preserve">C1</t>
  </si>
  <si>
    <t xml:space="preserve">C2</t>
  </si>
  <si>
    <t xml:space="preserve">Công thức (base x multiplier)</t>
  </si>
  <si>
    <t xml:space="preserve">Multiplier</t>
  </si>
  <si>
    <t xml:space="preserve">MaxHP = (50 + STR*2 + VIT*12) * Multiplier</t>
  </si>
  <si>
    <t xml:space="preserve">MaxMana = (30 + INT*10 + VIT*1) * Multiplier</t>
  </si>
  <si>
    <t xml:space="preserve">PhysicalDamage = (STR*2.2 + DEX*0.8) * Multiplier</t>
  </si>
  <si>
    <t xml:space="preserve">MagicDamage = (INT*2.5 + LUK*0.3) * Multiplier</t>
  </si>
  <si>
    <t xml:space="preserve">Defense = (VIT*1.5 + STR*0.5) * Multiplier</t>
  </si>
  <si>
    <t xml:space="preserve">MagicDefense = (INT*1 + VIT*0.8) * Multiplier</t>
  </si>
  <si>
    <t xml:space="preserve">AttackSpeed = (clamp(0.8 + DEX*0.015, 0.3, 3)) * Multiplier</t>
  </si>
  <si>
    <t xml:space="preserve">CritChance = (clamp(5 + LUK*0.35 + DEX*0.05, 0, 80)) * Multiplier</t>
  </si>
  <si>
    <t xml:space="preserve">CritDamage = (150 + LUK*0.8) * Multiplier</t>
  </si>
  <si>
    <t xml:space="preserve">MoveSpeed = (3 + DEX*0.02) * Multiplier</t>
  </si>
  <si>
    <t xml:space="preserve">HPRegen = (1 + VIT*0.1) * Multiplier</t>
  </si>
  <si>
    <t xml:space="preserve">ManaRegen = (1 + INT*0.08) * Multiplier</t>
  </si>
  <si>
    <t xml:space="preserve">Evasion = (clamp(DEX*0.25 + LUK*0.1, 0, 75)) * Multiplier</t>
  </si>
  <si>
    <t xml:space="preserve">LifeSteal = (LUK*0.05) * Multiplier</t>
  </si>
  <si>
    <t xml:space="preserve">CrowdControlResist = 0  (cố định, không qua base formula)</t>
  </si>
  <si>
    <t xml:space="preserve">-</t>
  </si>
  <si>
    <t xml:space="preserve">AttackRange = 1.5  (cố định, không qua base formula)</t>
  </si>
  <si>
    <t xml:space="preserve">AttackRange = 8  (cố định, không qua base formula)</t>
  </si>
  <si>
    <t xml:space="preserve">CrowdControlResist = 30  (cố định, không qua base formula)</t>
  </si>
  <si>
    <t xml:space="preserve">AttackRange = 1.8  (cố định, không qua base formula)</t>
  </si>
  <si>
    <t xml:space="preserve">AttackRange = 1.2  (cố định, không qua base formula)</t>
  </si>
  <si>
    <t xml:space="preserve">CrowdControlResist = 90  (cố định, không qua base formula)</t>
  </si>
  <si>
    <t xml:space="preserve">AttackRange = 3  (cố định, không qua base formula)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</si>
</sst>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D9E1F2"/>
        <bgColor rgb="FFF2F2F2"/>
      </patternFill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2E7D32"/>
        <bgColor rgb="FF008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4"/>
    <col collapsed="false" customWidth="true" hidden="false" outlineLevel="0" max="4" min="3" style="0" width="12"/>
    <col collapsed="false" customWidth="true" hidden="false" outlineLevel="0" max="10" min="6" style="0" width="7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  <c r="D4" s="3"/>
    </row>
    <row r="5" customFormat="false" ht="15" hidden="false" customHeight="false" outlineLevel="0" collapsed="false">
      <c r="A5" s="4" t="s">
        <v>3</v>
      </c>
      <c r="B5" s="5" t="s">
        <v>4</v>
      </c>
      <c r="C5" s="5"/>
      <c r="D5" s="5"/>
      <c r="F5" s="6" t="s">
        <v>5</v>
      </c>
      <c r="G5" s="6" t="s">
        <v>6</v>
      </c>
      <c r="H5" s="6" t="s">
        <v>7</v>
      </c>
      <c r="I5" s="6" t="s">
        <v>8</v>
      </c>
      <c r="J5" s="6" t="s">
        <v>9</v>
      </c>
    </row>
    <row r="6" customFormat="false" ht="15" hidden="false" customHeight="false" outlineLevel="0" collapsed="false">
      <c r="A6" s="7" t="s">
        <v>10</v>
      </c>
      <c r="B6" s="7" t="s">
        <v>11</v>
      </c>
      <c r="C6" s="7" t="s">
        <v>12</v>
      </c>
      <c r="D6" s="7" t="s">
        <v>13</v>
      </c>
      <c r="F6" s="8" t="n">
        <v>10</v>
      </c>
      <c r="G6" s="8" t="n">
        <v>10</v>
      </c>
      <c r="H6" s="8" t="n">
        <v>10</v>
      </c>
      <c r="I6" s="8" t="n">
        <v>10</v>
      </c>
      <c r="J6" s="8" t="n">
        <v>10</v>
      </c>
    </row>
    <row r="7" customFormat="false" ht="15" hidden="false" customHeight="false" outlineLevel="0" collapsed="false">
      <c r="A7" s="9" t="s">
        <v>14</v>
      </c>
      <c r="B7" s="10" t="s">
        <v>15</v>
      </c>
      <c r="C7" s="11" t="s">
        <v>16</v>
      </c>
      <c r="D7" s="12" t="n">
        <f aca="false">50+2*F6+12*I6</f>
        <v>190</v>
      </c>
    </row>
    <row r="8" customFormat="false" ht="15" hidden="false" customHeight="false" outlineLevel="0" collapsed="false">
      <c r="A8" s="9" t="s">
        <v>17</v>
      </c>
      <c r="B8" s="10" t="s">
        <v>18</v>
      </c>
      <c r="C8" s="11" t="s">
        <v>19</v>
      </c>
      <c r="D8" s="12" t="n">
        <f aca="false">30+10*H6+1*I6</f>
        <v>140</v>
      </c>
    </row>
    <row r="9" customFormat="false" ht="15" hidden="false" customHeight="false" outlineLevel="0" collapsed="false">
      <c r="A9" s="9" t="s">
        <v>20</v>
      </c>
      <c r="B9" s="10" t="s">
        <v>21</v>
      </c>
      <c r="C9" s="11" t="s">
        <v>22</v>
      </c>
      <c r="D9" s="12" t="n">
        <f aca="false">0+2.2*F6+0.8*G6</f>
        <v>30</v>
      </c>
    </row>
    <row r="10" customFormat="false" ht="15" hidden="false" customHeight="false" outlineLevel="0" collapsed="false">
      <c r="A10" s="9" t="s">
        <v>23</v>
      </c>
      <c r="B10" s="10" t="s">
        <v>24</v>
      </c>
      <c r="C10" s="11" t="s">
        <v>22</v>
      </c>
      <c r="D10" s="12" t="n">
        <f aca="false">0+2.5*H6+0.3*J6</f>
        <v>28</v>
      </c>
    </row>
    <row r="11" customFormat="false" ht="15" hidden="false" customHeight="false" outlineLevel="0" collapsed="false">
      <c r="A11" s="9" t="s">
        <v>25</v>
      </c>
      <c r="B11" s="10" t="s">
        <v>26</v>
      </c>
      <c r="C11" s="11" t="s">
        <v>27</v>
      </c>
      <c r="D11" s="12" t="n">
        <f aca="false">0+1.5*I6+0.5*F6</f>
        <v>20</v>
      </c>
    </row>
    <row r="12" customFormat="false" ht="15" hidden="false" customHeight="false" outlineLevel="0" collapsed="false">
      <c r="A12" s="9" t="s">
        <v>28</v>
      </c>
      <c r="B12" s="10" t="s">
        <v>29</v>
      </c>
      <c r="C12" s="11" t="s">
        <v>27</v>
      </c>
      <c r="D12" s="12" t="n">
        <f aca="false">0+1*H6+0.8*I6</f>
        <v>18</v>
      </c>
    </row>
    <row r="13" customFormat="false" ht="15" hidden="false" customHeight="false" outlineLevel="0" collapsed="false">
      <c r="A13" s="9" t="s">
        <v>30</v>
      </c>
      <c r="B13" s="10" t="s">
        <v>31</v>
      </c>
      <c r="C13" s="11" t="s">
        <v>32</v>
      </c>
      <c r="D13" s="12" t="n">
        <f aca="false">MIN(MAX(0.8+0.015*G6,0.3),3)</f>
        <v>0.95</v>
      </c>
    </row>
    <row r="14" customFormat="false" ht="15" hidden="false" customHeight="false" outlineLevel="0" collapsed="false">
      <c r="A14" s="9" t="s">
        <v>33</v>
      </c>
      <c r="B14" s="10" t="s">
        <v>34</v>
      </c>
      <c r="C14" s="11" t="s">
        <v>35</v>
      </c>
      <c r="D14" s="12" t="n">
        <f aca="false">MIN(MAX(5+0.35*J6+0.05*G6,0),80)</f>
        <v>9</v>
      </c>
    </row>
    <row r="15" customFormat="false" ht="15" hidden="false" customHeight="false" outlineLevel="0" collapsed="false">
      <c r="A15" s="9" t="s">
        <v>36</v>
      </c>
      <c r="B15" s="10" t="s">
        <v>37</v>
      </c>
      <c r="C15" s="11" t="s">
        <v>35</v>
      </c>
      <c r="D15" s="12" t="n">
        <f aca="false">150+0.8*J6</f>
        <v>158</v>
      </c>
    </row>
    <row r="16" customFormat="false" ht="15" hidden="false" customHeight="false" outlineLevel="0" collapsed="false">
      <c r="A16" s="9" t="s">
        <v>38</v>
      </c>
      <c r="B16" s="10" t="s">
        <v>39</v>
      </c>
      <c r="C16" s="11" t="s">
        <v>40</v>
      </c>
      <c r="D16" s="12" t="n">
        <f aca="false">3+0.02*G6</f>
        <v>3.2</v>
      </c>
    </row>
    <row r="17" customFormat="false" ht="15" hidden="false" customHeight="false" outlineLevel="0" collapsed="false">
      <c r="A17" s="9" t="s">
        <v>41</v>
      </c>
      <c r="B17" s="10" t="s">
        <v>42</v>
      </c>
      <c r="C17" s="11" t="s">
        <v>43</v>
      </c>
      <c r="D17" s="12" t="n">
        <f aca="false">1+0.1*I6</f>
        <v>2</v>
      </c>
    </row>
    <row r="18" customFormat="false" ht="15" hidden="false" customHeight="false" outlineLevel="0" collapsed="false">
      <c r="A18" s="9" t="s">
        <v>44</v>
      </c>
      <c r="B18" s="10" t="s">
        <v>45</v>
      </c>
      <c r="C18" s="11" t="s">
        <v>46</v>
      </c>
      <c r="D18" s="12" t="n">
        <f aca="false">1+0.08*H6</f>
        <v>1.8</v>
      </c>
    </row>
    <row r="19" customFormat="false" ht="15" hidden="false" customHeight="false" outlineLevel="0" collapsed="false">
      <c r="A19" s="9" t="s">
        <v>47</v>
      </c>
      <c r="B19" s="10" t="s">
        <v>48</v>
      </c>
      <c r="C19" s="11" t="s">
        <v>35</v>
      </c>
      <c r="D19" s="12" t="n">
        <f aca="false">MIN(MAX(0.25*G6+0.1*J6,0),75)</f>
        <v>3.5</v>
      </c>
    </row>
    <row r="20" customFormat="false" ht="15" hidden="false" customHeight="false" outlineLevel="0" collapsed="false">
      <c r="A20" s="9" t="s">
        <v>49</v>
      </c>
      <c r="B20" s="10" t="s">
        <v>50</v>
      </c>
      <c r="C20" s="11" t="s">
        <v>35</v>
      </c>
      <c r="D20" s="12" t="n">
        <f aca="false">0.05*J6</f>
        <v>0.5</v>
      </c>
    </row>
    <row r="21" customFormat="false" ht="15" hidden="false" customHeight="false" outlineLevel="0" collapsed="false">
      <c r="A21" s="9" t="s">
        <v>51</v>
      </c>
      <c r="B21" s="10" t="s">
        <v>52</v>
      </c>
      <c r="C21" s="11" t="s">
        <v>35</v>
      </c>
      <c r="D21" s="12" t="n">
        <f aca="false">0</f>
        <v>0</v>
      </c>
    </row>
    <row r="22" customFormat="false" ht="15" hidden="false" customHeight="false" outlineLevel="0" collapsed="false">
      <c r="A22" s="9" t="s">
        <v>53</v>
      </c>
      <c r="B22" s="10" t="s">
        <v>54</v>
      </c>
      <c r="C22" s="11" t="s">
        <v>55</v>
      </c>
      <c r="D22" s="12" t="n">
        <f aca="false">1.5</f>
        <v>1.5</v>
      </c>
    </row>
    <row r="25" customFormat="false" ht="15" hidden="false" customHeight="false" outlineLevel="0" collapsed="false">
      <c r="A25" s="3" t="s">
        <v>56</v>
      </c>
      <c r="B25" s="3"/>
      <c r="C25" s="3"/>
      <c r="D25" s="3"/>
    </row>
    <row r="26" customFormat="false" ht="15" hidden="false" customHeight="false" outlineLevel="0" collapsed="false">
      <c r="A26" s="4" t="s">
        <v>3</v>
      </c>
      <c r="B26" s="5" t="s">
        <v>57</v>
      </c>
      <c r="C26" s="5"/>
      <c r="D26" s="5"/>
      <c r="F26" s="6" t="s">
        <v>5</v>
      </c>
      <c r="G26" s="6" t="s">
        <v>6</v>
      </c>
      <c r="H26" s="6" t="s">
        <v>7</v>
      </c>
      <c r="I26" s="6" t="s">
        <v>8</v>
      </c>
      <c r="J26" s="6" t="s">
        <v>9</v>
      </c>
    </row>
    <row r="27" customFormat="false" ht="15" hidden="false" customHeight="false" outlineLevel="0" collapsed="false">
      <c r="A27" s="7" t="s">
        <v>10</v>
      </c>
      <c r="B27" s="7" t="s">
        <v>11</v>
      </c>
      <c r="C27" s="7" t="s">
        <v>12</v>
      </c>
      <c r="D27" s="7" t="s">
        <v>13</v>
      </c>
      <c r="F27" s="8" t="n">
        <v>8</v>
      </c>
      <c r="G27" s="8" t="n">
        <v>6</v>
      </c>
      <c r="H27" s="8" t="n">
        <v>2</v>
      </c>
      <c r="I27" s="8" t="n">
        <v>8</v>
      </c>
      <c r="J27" s="8" t="n">
        <v>2</v>
      </c>
    </row>
    <row r="28" customFormat="false" ht="15" hidden="false" customHeight="false" outlineLevel="0" collapsed="false">
      <c r="A28" s="9" t="s">
        <v>14</v>
      </c>
      <c r="B28" s="10" t="s">
        <v>58</v>
      </c>
      <c r="C28" s="11" t="s">
        <v>16</v>
      </c>
      <c r="D28" s="12" t="n">
        <f aca="false">30+1.5*F27+13*I27</f>
        <v>146</v>
      </c>
    </row>
    <row r="29" customFormat="false" ht="15" hidden="false" customHeight="false" outlineLevel="0" collapsed="false">
      <c r="A29" s="9" t="s">
        <v>17</v>
      </c>
      <c r="B29" s="10" t="s">
        <v>59</v>
      </c>
      <c r="C29" s="11" t="s">
        <v>19</v>
      </c>
      <c r="D29" s="12" t="n">
        <f aca="false">10+5*H27+0*I27</f>
        <v>20</v>
      </c>
    </row>
    <row r="30" customFormat="false" ht="15" hidden="false" customHeight="false" outlineLevel="0" collapsed="false">
      <c r="A30" s="9" t="s">
        <v>20</v>
      </c>
      <c r="B30" s="10" t="s">
        <v>60</v>
      </c>
      <c r="C30" s="11" t="s">
        <v>22</v>
      </c>
      <c r="D30" s="12" t="n">
        <f aca="false">2+2.6*F27+0.5*G27</f>
        <v>25.8</v>
      </c>
    </row>
    <row r="31" customFormat="false" ht="15" hidden="false" customHeight="false" outlineLevel="0" collapsed="false">
      <c r="A31" s="9" t="s">
        <v>23</v>
      </c>
      <c r="B31" s="10" t="s">
        <v>61</v>
      </c>
      <c r="C31" s="11" t="s">
        <v>22</v>
      </c>
      <c r="D31" s="12" t="n">
        <f aca="false">0+0.7*H27+0.1*J27</f>
        <v>1.6</v>
      </c>
    </row>
    <row r="32" customFormat="false" ht="15" hidden="false" customHeight="false" outlineLevel="0" collapsed="false">
      <c r="A32" s="9" t="s">
        <v>25</v>
      </c>
      <c r="B32" s="10" t="s">
        <v>62</v>
      </c>
      <c r="C32" s="11" t="s">
        <v>27</v>
      </c>
      <c r="D32" s="12" t="n">
        <f aca="false">0+1*I27+0.3*F27</f>
        <v>10.4</v>
      </c>
    </row>
    <row r="33" customFormat="false" ht="15" hidden="false" customHeight="false" outlineLevel="0" collapsed="false">
      <c r="A33" s="9" t="s">
        <v>28</v>
      </c>
      <c r="B33" s="10" t="s">
        <v>63</v>
      </c>
      <c r="C33" s="11" t="s">
        <v>27</v>
      </c>
      <c r="D33" s="12" t="n">
        <f aca="false">0+0.5*H27+0.4*I27</f>
        <v>4.2</v>
      </c>
    </row>
    <row r="34" customFormat="false" ht="15" hidden="false" customHeight="false" outlineLevel="0" collapsed="false">
      <c r="A34" s="9" t="s">
        <v>30</v>
      </c>
      <c r="B34" s="10" t="s">
        <v>31</v>
      </c>
      <c r="C34" s="11" t="s">
        <v>32</v>
      </c>
      <c r="D34" s="12" t="n">
        <f aca="false">MIN(MAX(0.8+0.015*G27,0.3),3)</f>
        <v>0.89</v>
      </c>
    </row>
    <row r="35" customFormat="false" ht="15" hidden="false" customHeight="false" outlineLevel="0" collapsed="false">
      <c r="A35" s="9" t="s">
        <v>33</v>
      </c>
      <c r="B35" s="10" t="s">
        <v>64</v>
      </c>
      <c r="C35" s="11" t="s">
        <v>35</v>
      </c>
      <c r="D35" s="12" t="n">
        <f aca="false">MIN(MAX(3+0.2*J27+0.03*G27,0),80)</f>
        <v>3.58</v>
      </c>
    </row>
    <row r="36" customFormat="false" ht="15" hidden="false" customHeight="false" outlineLevel="0" collapsed="false">
      <c r="A36" s="9" t="s">
        <v>36</v>
      </c>
      <c r="B36" s="10" t="s">
        <v>65</v>
      </c>
      <c r="C36" s="11" t="s">
        <v>35</v>
      </c>
      <c r="D36" s="12" t="n">
        <f aca="false">150+0*J27</f>
        <v>150</v>
      </c>
    </row>
    <row r="37" customFormat="false" ht="15" hidden="false" customHeight="false" outlineLevel="0" collapsed="false">
      <c r="A37" s="9" t="s">
        <v>38</v>
      </c>
      <c r="B37" s="10" t="s">
        <v>66</v>
      </c>
      <c r="C37" s="11" t="s">
        <v>40</v>
      </c>
      <c r="D37" s="12" t="n">
        <f aca="false">2.7+0.015*G27</f>
        <v>2.79</v>
      </c>
    </row>
    <row r="38" customFormat="false" ht="15" hidden="false" customHeight="false" outlineLevel="0" collapsed="false">
      <c r="A38" s="9" t="s">
        <v>41</v>
      </c>
      <c r="B38" s="10" t="s">
        <v>67</v>
      </c>
      <c r="C38" s="11" t="s">
        <v>43</v>
      </c>
      <c r="D38" s="12" t="n">
        <f aca="false">0.3+0.05*I27</f>
        <v>0.7</v>
      </c>
    </row>
    <row r="39" customFormat="false" ht="15" hidden="false" customHeight="false" outlineLevel="0" collapsed="false">
      <c r="A39" s="9" t="s">
        <v>44</v>
      </c>
      <c r="B39" s="10" t="s">
        <v>68</v>
      </c>
      <c r="C39" s="11" t="s">
        <v>46</v>
      </c>
      <c r="D39" s="12" t="n">
        <f aca="false">0.2+0.03*H27</f>
        <v>0.26</v>
      </c>
    </row>
    <row r="40" customFormat="false" ht="15" hidden="false" customHeight="false" outlineLevel="0" collapsed="false">
      <c r="A40" s="9" t="s">
        <v>47</v>
      </c>
      <c r="B40" s="10" t="s">
        <v>69</v>
      </c>
      <c r="C40" s="11" t="s">
        <v>35</v>
      </c>
      <c r="D40" s="12" t="n">
        <f aca="false">MIN(MAX(0.15*G27+0.05*J27,0),75)</f>
        <v>1</v>
      </c>
    </row>
    <row r="41" customFormat="false" ht="15" hidden="false" customHeight="false" outlineLevel="0" collapsed="false">
      <c r="A41" s="9" t="s">
        <v>49</v>
      </c>
      <c r="B41" s="10" t="s">
        <v>70</v>
      </c>
      <c r="C41" s="11" t="s">
        <v>35</v>
      </c>
      <c r="D41" s="12" t="n">
        <f aca="false">0*J27</f>
        <v>0</v>
      </c>
    </row>
    <row r="42" customFormat="false" ht="15" hidden="false" customHeight="false" outlineLevel="0" collapsed="false">
      <c r="A42" s="9" t="s">
        <v>51</v>
      </c>
      <c r="B42" s="10" t="s">
        <v>52</v>
      </c>
      <c r="C42" s="11" t="s">
        <v>35</v>
      </c>
      <c r="D42" s="12" t="n">
        <f aca="false">0</f>
        <v>0</v>
      </c>
    </row>
    <row r="43" customFormat="false" ht="15" hidden="false" customHeight="false" outlineLevel="0" collapsed="false">
      <c r="A43" s="9" t="s">
        <v>53</v>
      </c>
      <c r="B43" s="10" t="s">
        <v>54</v>
      </c>
      <c r="C43" s="11" t="s">
        <v>55</v>
      </c>
      <c r="D43" s="12" t="n">
        <f aca="false">1.5</f>
        <v>1.5</v>
      </c>
    </row>
    <row r="46" customFormat="false" ht="15" hidden="false" customHeight="false" outlineLevel="0" collapsed="false">
      <c r="A46" s="3" t="s">
        <v>71</v>
      </c>
      <c r="B46" s="3"/>
      <c r="C46" s="3"/>
      <c r="D46" s="3"/>
    </row>
    <row r="47" customFormat="false" ht="15" hidden="false" customHeight="false" outlineLevel="0" collapsed="false">
      <c r="A47" s="4" t="s">
        <v>3</v>
      </c>
      <c r="B47" s="5" t="s">
        <v>72</v>
      </c>
      <c r="C47" s="5"/>
      <c r="D47" s="5"/>
      <c r="F47" s="6" t="s">
        <v>5</v>
      </c>
      <c r="G47" s="6" t="s">
        <v>6</v>
      </c>
      <c r="H47" s="6" t="s">
        <v>7</v>
      </c>
      <c r="I47" s="6" t="s">
        <v>8</v>
      </c>
      <c r="J47" s="6" t="s">
        <v>9</v>
      </c>
    </row>
    <row r="48" customFormat="false" ht="15" hidden="false" customHeight="false" outlineLevel="0" collapsed="false">
      <c r="A48" s="7" t="s">
        <v>10</v>
      </c>
      <c r="B48" s="7" t="s">
        <v>11</v>
      </c>
      <c r="C48" s="7" t="s">
        <v>12</v>
      </c>
      <c r="D48" s="7" t="s">
        <v>13</v>
      </c>
      <c r="F48" s="8" t="n">
        <v>3</v>
      </c>
      <c r="G48" s="8" t="n">
        <v>5</v>
      </c>
      <c r="H48" s="8" t="n">
        <v>14</v>
      </c>
      <c r="I48" s="8" t="n">
        <v>5</v>
      </c>
      <c r="J48" s="8" t="n">
        <v>4</v>
      </c>
    </row>
    <row r="49" customFormat="false" ht="15" hidden="false" customHeight="false" outlineLevel="0" collapsed="false">
      <c r="A49" s="9" t="s">
        <v>14</v>
      </c>
      <c r="B49" s="10" t="s">
        <v>73</v>
      </c>
      <c r="C49" s="11" t="s">
        <v>16</v>
      </c>
      <c r="D49" s="12" t="n">
        <f aca="false">20+0.5*F48+8*I48</f>
        <v>61.5</v>
      </c>
    </row>
    <row r="50" customFormat="false" ht="15" hidden="false" customHeight="false" outlineLevel="0" collapsed="false">
      <c r="A50" s="9" t="s">
        <v>17</v>
      </c>
      <c r="B50" s="10" t="s">
        <v>74</v>
      </c>
      <c r="C50" s="11" t="s">
        <v>19</v>
      </c>
      <c r="D50" s="12" t="n">
        <f aca="false">40+14*H48+0.5*I48</f>
        <v>238.5</v>
      </c>
    </row>
    <row r="51" customFormat="false" ht="15" hidden="false" customHeight="false" outlineLevel="0" collapsed="false">
      <c r="A51" s="9" t="s">
        <v>20</v>
      </c>
      <c r="B51" s="10" t="s">
        <v>75</v>
      </c>
      <c r="C51" s="11" t="s">
        <v>22</v>
      </c>
      <c r="D51" s="12" t="n">
        <f aca="false">0+1*F48+0.5*G48</f>
        <v>5.5</v>
      </c>
    </row>
    <row r="52" customFormat="false" ht="15" hidden="false" customHeight="false" outlineLevel="0" collapsed="false">
      <c r="A52" s="9" t="s">
        <v>23</v>
      </c>
      <c r="B52" s="10" t="s">
        <v>76</v>
      </c>
      <c r="C52" s="11" t="s">
        <v>22</v>
      </c>
      <c r="D52" s="12" t="n">
        <f aca="false">5+3.6*H48+0.3*J48</f>
        <v>56.6</v>
      </c>
    </row>
    <row r="53" customFormat="false" ht="15" hidden="false" customHeight="false" outlineLevel="0" collapsed="false">
      <c r="A53" s="9" t="s">
        <v>25</v>
      </c>
      <c r="B53" s="10" t="s">
        <v>77</v>
      </c>
      <c r="C53" s="11" t="s">
        <v>27</v>
      </c>
      <c r="D53" s="12" t="n">
        <f aca="false">0+0.8*I48+0.1*F48</f>
        <v>4.3</v>
      </c>
    </row>
    <row r="54" customFormat="false" ht="15" hidden="false" customHeight="false" outlineLevel="0" collapsed="false">
      <c r="A54" s="9" t="s">
        <v>28</v>
      </c>
      <c r="B54" s="10" t="s">
        <v>78</v>
      </c>
      <c r="C54" s="11" t="s">
        <v>27</v>
      </c>
      <c r="D54" s="12" t="n">
        <f aca="false">0+1*H48+0.5*I48</f>
        <v>16.5</v>
      </c>
    </row>
    <row r="55" customFormat="false" ht="15" hidden="false" customHeight="false" outlineLevel="0" collapsed="false">
      <c r="A55" s="9" t="s">
        <v>30</v>
      </c>
      <c r="B55" s="10" t="s">
        <v>79</v>
      </c>
      <c r="C55" s="11" t="s">
        <v>32</v>
      </c>
      <c r="D55" s="12" t="n">
        <f aca="false">MIN(MAX(0.5+0.012*G48,0.3),3)</f>
        <v>0.56</v>
      </c>
    </row>
    <row r="56" customFormat="false" ht="15" hidden="false" customHeight="false" outlineLevel="0" collapsed="false">
      <c r="A56" s="9" t="s">
        <v>33</v>
      </c>
      <c r="B56" s="10" t="s">
        <v>64</v>
      </c>
      <c r="C56" s="11" t="s">
        <v>35</v>
      </c>
      <c r="D56" s="12" t="n">
        <f aca="false">MIN(MAX(3+0.2*J48+0.03*G48,0),80)</f>
        <v>3.95</v>
      </c>
    </row>
    <row r="57" customFormat="false" ht="15" hidden="false" customHeight="false" outlineLevel="0" collapsed="false">
      <c r="A57" s="9" t="s">
        <v>36</v>
      </c>
      <c r="B57" s="10" t="s">
        <v>65</v>
      </c>
      <c r="C57" s="11" t="s">
        <v>35</v>
      </c>
      <c r="D57" s="12" t="n">
        <f aca="false">150+0*J48</f>
        <v>150</v>
      </c>
    </row>
    <row r="58" customFormat="false" ht="15" hidden="false" customHeight="false" outlineLevel="0" collapsed="false">
      <c r="A58" s="9" t="s">
        <v>38</v>
      </c>
      <c r="B58" s="10" t="s">
        <v>80</v>
      </c>
      <c r="C58" s="11" t="s">
        <v>40</v>
      </c>
      <c r="D58" s="12" t="n">
        <f aca="false">2.5+0.012*G48</f>
        <v>2.56</v>
      </c>
    </row>
    <row r="59" customFormat="false" ht="15" hidden="false" customHeight="false" outlineLevel="0" collapsed="false">
      <c r="A59" s="9" t="s">
        <v>41</v>
      </c>
      <c r="B59" s="10" t="s">
        <v>67</v>
      </c>
      <c r="C59" s="11" t="s">
        <v>43</v>
      </c>
      <c r="D59" s="12" t="n">
        <f aca="false">0.3+0.05*I48</f>
        <v>0.55</v>
      </c>
    </row>
    <row r="60" customFormat="false" ht="15" hidden="false" customHeight="false" outlineLevel="0" collapsed="false">
      <c r="A60" s="9" t="s">
        <v>44</v>
      </c>
      <c r="B60" s="10" t="s">
        <v>81</v>
      </c>
      <c r="C60" s="11" t="s">
        <v>46</v>
      </c>
      <c r="D60" s="12" t="n">
        <f aca="false">1.5+0.1*H48</f>
        <v>2.9</v>
      </c>
    </row>
    <row r="61" customFormat="false" ht="15" hidden="false" customHeight="false" outlineLevel="0" collapsed="false">
      <c r="A61" s="9" t="s">
        <v>47</v>
      </c>
      <c r="B61" s="10" t="s">
        <v>69</v>
      </c>
      <c r="C61" s="11" t="s">
        <v>35</v>
      </c>
      <c r="D61" s="12" t="n">
        <f aca="false">MIN(MAX(0.15*G48+0.05*J48,0),75)</f>
        <v>0.95</v>
      </c>
    </row>
    <row r="62" customFormat="false" ht="15" hidden="false" customHeight="false" outlineLevel="0" collapsed="false">
      <c r="A62" s="9" t="s">
        <v>49</v>
      </c>
      <c r="B62" s="10" t="s">
        <v>70</v>
      </c>
      <c r="C62" s="11" t="s">
        <v>35</v>
      </c>
      <c r="D62" s="12" t="n">
        <f aca="false">0*J48</f>
        <v>0</v>
      </c>
    </row>
    <row r="63" customFormat="false" ht="15" hidden="false" customHeight="false" outlineLevel="0" collapsed="false">
      <c r="A63" s="9" t="s">
        <v>51</v>
      </c>
      <c r="B63" s="10" t="s">
        <v>52</v>
      </c>
      <c r="C63" s="11" t="s">
        <v>35</v>
      </c>
      <c r="D63" s="12" t="n">
        <f aca="false">0</f>
        <v>0</v>
      </c>
    </row>
    <row r="64" customFormat="false" ht="15" hidden="false" customHeight="false" outlineLevel="0" collapsed="false">
      <c r="A64" s="9" t="s">
        <v>53</v>
      </c>
      <c r="B64" s="10" t="s">
        <v>82</v>
      </c>
      <c r="C64" s="11" t="s">
        <v>55</v>
      </c>
      <c r="D64" s="12" t="n">
        <f aca="false">8</f>
        <v>8</v>
      </c>
    </row>
    <row r="67" customFormat="false" ht="15" hidden="false" customHeight="false" outlineLevel="0" collapsed="false">
      <c r="A67" s="3" t="s">
        <v>83</v>
      </c>
      <c r="B67" s="3"/>
      <c r="C67" s="3"/>
      <c r="D67" s="3"/>
    </row>
    <row r="68" customFormat="false" ht="15" hidden="false" customHeight="false" outlineLevel="0" collapsed="false">
      <c r="A68" s="4" t="s">
        <v>3</v>
      </c>
      <c r="B68" s="5" t="s">
        <v>84</v>
      </c>
      <c r="C68" s="5"/>
      <c r="D68" s="5"/>
      <c r="F68" s="6" t="s">
        <v>5</v>
      </c>
      <c r="G68" s="6" t="s">
        <v>6</v>
      </c>
      <c r="H68" s="6" t="s">
        <v>7</v>
      </c>
      <c r="I68" s="6" t="s">
        <v>8</v>
      </c>
      <c r="J68" s="6" t="s">
        <v>9</v>
      </c>
    </row>
    <row r="69" customFormat="false" ht="15" hidden="false" customHeight="false" outlineLevel="0" collapsed="false">
      <c r="A69" s="7" t="s">
        <v>10</v>
      </c>
      <c r="B69" s="7" t="s">
        <v>11</v>
      </c>
      <c r="C69" s="7" t="s">
        <v>12</v>
      </c>
      <c r="D69" s="7" t="s">
        <v>13</v>
      </c>
      <c r="F69" s="8" t="n">
        <v>10</v>
      </c>
      <c r="G69" s="8" t="n">
        <v>4</v>
      </c>
      <c r="H69" s="8" t="n">
        <v>3</v>
      </c>
      <c r="I69" s="8" t="n">
        <v>18</v>
      </c>
      <c r="J69" s="8" t="n">
        <v>2</v>
      </c>
    </row>
    <row r="70" customFormat="false" ht="15" hidden="false" customHeight="false" outlineLevel="0" collapsed="false">
      <c r="A70" s="9" t="s">
        <v>14</v>
      </c>
      <c r="B70" s="10" t="s">
        <v>85</v>
      </c>
      <c r="C70" s="11" t="s">
        <v>16</v>
      </c>
      <c r="D70" s="12" t="n">
        <f aca="false">80+3*F69+20*I69</f>
        <v>470</v>
      </c>
    </row>
    <row r="71" customFormat="false" ht="15" hidden="false" customHeight="false" outlineLevel="0" collapsed="false">
      <c r="A71" s="9" t="s">
        <v>17</v>
      </c>
      <c r="B71" s="10" t="s">
        <v>86</v>
      </c>
      <c r="C71" s="11" t="s">
        <v>19</v>
      </c>
      <c r="D71" s="12" t="n">
        <f aca="false">15+4*H69+0.5*I69</f>
        <v>36</v>
      </c>
    </row>
    <row r="72" customFormat="false" ht="15" hidden="false" customHeight="false" outlineLevel="0" collapsed="false">
      <c r="A72" s="9" t="s">
        <v>20</v>
      </c>
      <c r="B72" s="10" t="s">
        <v>87</v>
      </c>
      <c r="C72" s="11" t="s">
        <v>22</v>
      </c>
      <c r="D72" s="12" t="n">
        <f aca="false">0+1.8*F69+0.3*G69</f>
        <v>19.2</v>
      </c>
    </row>
    <row r="73" customFormat="false" ht="15" hidden="false" customHeight="false" outlineLevel="0" collapsed="false">
      <c r="A73" s="9" t="s">
        <v>23</v>
      </c>
      <c r="B73" s="10" t="s">
        <v>88</v>
      </c>
      <c r="C73" s="11" t="s">
        <v>22</v>
      </c>
      <c r="D73" s="12" t="n">
        <f aca="false">0+0.8*H69+0.1*J69</f>
        <v>2.6</v>
      </c>
    </row>
    <row r="74" customFormat="false" ht="15" hidden="false" customHeight="false" outlineLevel="0" collapsed="false">
      <c r="A74" s="9" t="s">
        <v>25</v>
      </c>
      <c r="B74" s="10" t="s">
        <v>89</v>
      </c>
      <c r="C74" s="11" t="s">
        <v>27</v>
      </c>
      <c r="D74" s="12" t="n">
        <f aca="false">5+1.8*I69+0.5*F69</f>
        <v>42.4</v>
      </c>
    </row>
    <row r="75" customFormat="false" ht="15" hidden="false" customHeight="false" outlineLevel="0" collapsed="false">
      <c r="A75" s="9" t="s">
        <v>28</v>
      </c>
      <c r="B75" s="10" t="s">
        <v>90</v>
      </c>
      <c r="C75" s="11" t="s">
        <v>27</v>
      </c>
      <c r="D75" s="12" t="n">
        <f aca="false">5+0.8*H69+1.5*I69</f>
        <v>34.4</v>
      </c>
    </row>
    <row r="76" customFormat="false" ht="15" hidden="false" customHeight="false" outlineLevel="0" collapsed="false">
      <c r="A76" s="9" t="s">
        <v>30</v>
      </c>
      <c r="B76" s="10" t="s">
        <v>91</v>
      </c>
      <c r="C76" s="11" t="s">
        <v>32</v>
      </c>
      <c r="D76" s="12" t="n">
        <f aca="false">MIN(MAX(0.5+0.01*G69,0.3),3)</f>
        <v>0.54</v>
      </c>
    </row>
    <row r="77" customFormat="false" ht="15" hidden="false" customHeight="false" outlineLevel="0" collapsed="false">
      <c r="A77" s="9" t="s">
        <v>33</v>
      </c>
      <c r="B77" s="10" t="s">
        <v>92</v>
      </c>
      <c r="C77" s="11" t="s">
        <v>35</v>
      </c>
      <c r="D77" s="12" t="n">
        <f aca="false">MIN(MAX(2+0.15*J69+0.02*G69,0),80)</f>
        <v>2.38</v>
      </c>
    </row>
    <row r="78" customFormat="false" ht="15" hidden="false" customHeight="false" outlineLevel="0" collapsed="false">
      <c r="A78" s="9" t="s">
        <v>36</v>
      </c>
      <c r="B78" s="10" t="s">
        <v>93</v>
      </c>
      <c r="C78" s="11" t="s">
        <v>35</v>
      </c>
      <c r="D78" s="12" t="n">
        <f aca="false">130+0.3*J69</f>
        <v>130.6</v>
      </c>
    </row>
    <row r="79" customFormat="false" ht="15" hidden="false" customHeight="false" outlineLevel="0" collapsed="false">
      <c r="A79" s="9" t="s">
        <v>38</v>
      </c>
      <c r="B79" s="10" t="s">
        <v>94</v>
      </c>
      <c r="C79" s="11" t="s">
        <v>40</v>
      </c>
      <c r="D79" s="12" t="n">
        <f aca="false">1.8+0.01*G69</f>
        <v>1.84</v>
      </c>
    </row>
    <row r="80" customFormat="false" ht="15" hidden="false" customHeight="false" outlineLevel="0" collapsed="false">
      <c r="A80" s="9" t="s">
        <v>41</v>
      </c>
      <c r="B80" s="10" t="s">
        <v>95</v>
      </c>
      <c r="C80" s="11" t="s">
        <v>43</v>
      </c>
      <c r="D80" s="12" t="n">
        <f aca="false">1+0.15*I69</f>
        <v>3.7</v>
      </c>
    </row>
    <row r="81" customFormat="false" ht="15" hidden="false" customHeight="false" outlineLevel="0" collapsed="false">
      <c r="A81" s="9" t="s">
        <v>44</v>
      </c>
      <c r="B81" s="10" t="s">
        <v>96</v>
      </c>
      <c r="C81" s="11" t="s">
        <v>46</v>
      </c>
      <c r="D81" s="12" t="n">
        <f aca="false">0.3+0.03*H69</f>
        <v>0.39</v>
      </c>
    </row>
    <row r="82" customFormat="false" ht="15" hidden="false" customHeight="false" outlineLevel="0" collapsed="false">
      <c r="A82" s="9" t="s">
        <v>47</v>
      </c>
      <c r="B82" s="10" t="s">
        <v>97</v>
      </c>
      <c r="C82" s="11" t="s">
        <v>35</v>
      </c>
      <c r="D82" s="12" t="n">
        <f aca="false">MIN(MAX(0.05*G69+0.02*J69,0),75)</f>
        <v>0.24</v>
      </c>
    </row>
    <row r="83" customFormat="false" ht="15" hidden="false" customHeight="false" outlineLevel="0" collapsed="false">
      <c r="A83" s="9" t="s">
        <v>49</v>
      </c>
      <c r="B83" s="10" t="s">
        <v>70</v>
      </c>
      <c r="C83" s="11" t="s">
        <v>35</v>
      </c>
      <c r="D83" s="12" t="n">
        <f aca="false">0*J69</f>
        <v>0</v>
      </c>
    </row>
    <row r="84" customFormat="false" ht="15" hidden="false" customHeight="false" outlineLevel="0" collapsed="false">
      <c r="A84" s="9" t="s">
        <v>51</v>
      </c>
      <c r="B84" s="10" t="s">
        <v>98</v>
      </c>
      <c r="C84" s="11" t="s">
        <v>35</v>
      </c>
      <c r="D84" s="12" t="n">
        <f aca="false">30</f>
        <v>30</v>
      </c>
    </row>
    <row r="85" customFormat="false" ht="15" hidden="false" customHeight="false" outlineLevel="0" collapsed="false">
      <c r="A85" s="9" t="s">
        <v>53</v>
      </c>
      <c r="B85" s="10" t="s">
        <v>99</v>
      </c>
      <c r="C85" s="11" t="s">
        <v>55</v>
      </c>
      <c r="D85" s="12" t="n">
        <f aca="false">1.8</f>
        <v>1.8</v>
      </c>
    </row>
    <row r="88" customFormat="false" ht="15" hidden="false" customHeight="false" outlineLevel="0" collapsed="false">
      <c r="A88" s="3" t="s">
        <v>100</v>
      </c>
      <c r="B88" s="3"/>
      <c r="C88" s="3"/>
      <c r="D88" s="3"/>
    </row>
    <row r="89" customFormat="false" ht="15" hidden="false" customHeight="false" outlineLevel="0" collapsed="false">
      <c r="A89" s="4" t="s">
        <v>3</v>
      </c>
      <c r="B89" s="5" t="s">
        <v>101</v>
      </c>
      <c r="C89" s="5"/>
      <c r="D89" s="5"/>
      <c r="F89" s="6" t="s">
        <v>5</v>
      </c>
      <c r="G89" s="6" t="s">
        <v>6</v>
      </c>
      <c r="H89" s="6" t="s">
        <v>7</v>
      </c>
      <c r="I89" s="6" t="s">
        <v>8</v>
      </c>
      <c r="J89" s="6" t="s">
        <v>9</v>
      </c>
    </row>
    <row r="90" customFormat="false" ht="15" hidden="false" customHeight="false" outlineLevel="0" collapsed="false">
      <c r="A90" s="7" t="s">
        <v>10</v>
      </c>
      <c r="B90" s="7" t="s">
        <v>11</v>
      </c>
      <c r="C90" s="7" t="s">
        <v>12</v>
      </c>
      <c r="D90" s="7" t="s">
        <v>13</v>
      </c>
      <c r="F90" s="8" t="n">
        <v>5</v>
      </c>
      <c r="G90" s="8" t="n">
        <v>16</v>
      </c>
      <c r="H90" s="8" t="n">
        <v>2</v>
      </c>
      <c r="I90" s="8" t="n">
        <v>4</v>
      </c>
      <c r="J90" s="8" t="n">
        <v>6</v>
      </c>
    </row>
    <row r="91" customFormat="false" ht="15" hidden="false" customHeight="false" outlineLevel="0" collapsed="false">
      <c r="A91" s="9" t="s">
        <v>14</v>
      </c>
      <c r="B91" s="10" t="s">
        <v>102</v>
      </c>
      <c r="C91" s="11" t="s">
        <v>16</v>
      </c>
      <c r="D91" s="12" t="n">
        <f aca="false">15+0.5*F90+6*I90</f>
        <v>41.5</v>
      </c>
    </row>
    <row r="92" customFormat="false" ht="15" hidden="false" customHeight="false" outlineLevel="0" collapsed="false">
      <c r="A92" s="9" t="s">
        <v>17</v>
      </c>
      <c r="B92" s="10" t="s">
        <v>103</v>
      </c>
      <c r="C92" s="11" t="s">
        <v>19</v>
      </c>
      <c r="D92" s="12" t="n">
        <f aca="false">5+4*H90+0*I90</f>
        <v>13</v>
      </c>
    </row>
    <row r="93" customFormat="false" ht="15" hidden="false" customHeight="false" outlineLevel="0" collapsed="false">
      <c r="A93" s="9" t="s">
        <v>20</v>
      </c>
      <c r="B93" s="10" t="s">
        <v>104</v>
      </c>
      <c r="C93" s="11" t="s">
        <v>22</v>
      </c>
      <c r="D93" s="12" t="n">
        <f aca="false">0+1.5*F90+0.6*G90</f>
        <v>17.1</v>
      </c>
    </row>
    <row r="94" customFormat="false" ht="15" hidden="false" customHeight="false" outlineLevel="0" collapsed="false">
      <c r="A94" s="9" t="s">
        <v>23</v>
      </c>
      <c r="B94" s="10" t="s">
        <v>105</v>
      </c>
      <c r="C94" s="11" t="s">
        <v>22</v>
      </c>
      <c r="D94" s="12" t="n">
        <f aca="false">0+0.5*H90+0.1*J90</f>
        <v>1.6</v>
      </c>
    </row>
    <row r="95" customFormat="false" ht="15" hidden="false" customHeight="false" outlineLevel="0" collapsed="false">
      <c r="A95" s="9" t="s">
        <v>25</v>
      </c>
      <c r="B95" s="10" t="s">
        <v>106</v>
      </c>
      <c r="C95" s="11" t="s">
        <v>27</v>
      </c>
      <c r="D95" s="12" t="n">
        <f aca="false">0+0.7*I90+0.1*F90</f>
        <v>3.3</v>
      </c>
    </row>
    <row r="96" customFormat="false" ht="15" hidden="false" customHeight="false" outlineLevel="0" collapsed="false">
      <c r="A96" s="9" t="s">
        <v>28</v>
      </c>
      <c r="B96" s="10" t="s">
        <v>107</v>
      </c>
      <c r="C96" s="11" t="s">
        <v>27</v>
      </c>
      <c r="D96" s="12" t="n">
        <f aca="false">0+0.4*H90+0.3*I90</f>
        <v>2</v>
      </c>
    </row>
    <row r="97" customFormat="false" ht="15" hidden="false" customHeight="false" outlineLevel="0" collapsed="false">
      <c r="A97" s="9" t="s">
        <v>30</v>
      </c>
      <c r="B97" s="10" t="s">
        <v>108</v>
      </c>
      <c r="C97" s="11" t="s">
        <v>32</v>
      </c>
      <c r="D97" s="12" t="n">
        <f aca="false">MIN(MAX(0.9+0.025*G90,0.3),3)</f>
        <v>1.3</v>
      </c>
    </row>
    <row r="98" customFormat="false" ht="15" hidden="false" customHeight="false" outlineLevel="0" collapsed="false">
      <c r="A98" s="9" t="s">
        <v>33</v>
      </c>
      <c r="B98" s="10" t="s">
        <v>109</v>
      </c>
      <c r="C98" s="11" t="s">
        <v>35</v>
      </c>
      <c r="D98" s="12" t="n">
        <f aca="false">MIN(MAX(4+0.25*J90+0.04*G90,0),80)</f>
        <v>6.14</v>
      </c>
    </row>
    <row r="99" customFormat="false" ht="15" hidden="false" customHeight="false" outlineLevel="0" collapsed="false">
      <c r="A99" s="9" t="s">
        <v>36</v>
      </c>
      <c r="B99" s="10" t="s">
        <v>65</v>
      </c>
      <c r="C99" s="11" t="s">
        <v>35</v>
      </c>
      <c r="D99" s="12" t="n">
        <f aca="false">150+0*J90</f>
        <v>150</v>
      </c>
    </row>
    <row r="100" customFormat="false" ht="15" hidden="false" customHeight="false" outlineLevel="0" collapsed="false">
      <c r="A100" s="9" t="s">
        <v>38</v>
      </c>
      <c r="B100" s="10" t="s">
        <v>110</v>
      </c>
      <c r="C100" s="11" t="s">
        <v>40</v>
      </c>
      <c r="D100" s="12" t="n">
        <f aca="false">4.5+0.05*G90</f>
        <v>5.3</v>
      </c>
    </row>
    <row r="101" customFormat="false" ht="15" hidden="false" customHeight="false" outlineLevel="0" collapsed="false">
      <c r="A101" s="9" t="s">
        <v>41</v>
      </c>
      <c r="B101" s="10" t="s">
        <v>67</v>
      </c>
      <c r="C101" s="11" t="s">
        <v>43</v>
      </c>
      <c r="D101" s="12" t="n">
        <f aca="false">0.3+0.05*I90</f>
        <v>0.5</v>
      </c>
    </row>
    <row r="102" customFormat="false" ht="15" hidden="false" customHeight="false" outlineLevel="0" collapsed="false">
      <c r="A102" s="9" t="s">
        <v>44</v>
      </c>
      <c r="B102" s="10" t="s">
        <v>68</v>
      </c>
      <c r="C102" s="11" t="s">
        <v>46</v>
      </c>
      <c r="D102" s="12" t="n">
        <f aca="false">0.2+0.03*H90</f>
        <v>0.26</v>
      </c>
    </row>
    <row r="103" customFormat="false" ht="15" hidden="false" customHeight="false" outlineLevel="0" collapsed="false">
      <c r="A103" s="9" t="s">
        <v>47</v>
      </c>
      <c r="B103" s="10" t="s">
        <v>111</v>
      </c>
      <c r="C103" s="11" t="s">
        <v>35</v>
      </c>
      <c r="D103" s="12" t="n">
        <f aca="false">MIN(MAX(0.35*G90+0.15*J90,0),75)</f>
        <v>6.5</v>
      </c>
    </row>
    <row r="104" customFormat="false" ht="15" hidden="false" customHeight="false" outlineLevel="0" collapsed="false">
      <c r="A104" s="9" t="s">
        <v>49</v>
      </c>
      <c r="B104" s="10" t="s">
        <v>70</v>
      </c>
      <c r="C104" s="11" t="s">
        <v>35</v>
      </c>
      <c r="D104" s="12" t="n">
        <f aca="false">0*J90</f>
        <v>0</v>
      </c>
    </row>
    <row r="105" customFormat="false" ht="15" hidden="false" customHeight="false" outlineLevel="0" collapsed="false">
      <c r="A105" s="9" t="s">
        <v>51</v>
      </c>
      <c r="B105" s="10" t="s">
        <v>52</v>
      </c>
      <c r="C105" s="11" t="s">
        <v>35</v>
      </c>
      <c r="D105" s="12" t="n">
        <f aca="false">0</f>
        <v>0</v>
      </c>
    </row>
    <row r="106" customFormat="false" ht="15" hidden="false" customHeight="false" outlineLevel="0" collapsed="false">
      <c r="A106" s="9" t="s">
        <v>53</v>
      </c>
      <c r="B106" s="10" t="s">
        <v>112</v>
      </c>
      <c r="C106" s="11" t="s">
        <v>55</v>
      </c>
      <c r="D106" s="12" t="n">
        <f aca="false">1.2</f>
        <v>1.2</v>
      </c>
    </row>
    <row r="109" customFormat="false" ht="15" hidden="false" customHeight="false" outlineLevel="0" collapsed="false">
      <c r="A109" s="3" t="s">
        <v>113</v>
      </c>
      <c r="B109" s="3"/>
      <c r="C109" s="3"/>
      <c r="D109" s="3"/>
    </row>
    <row r="110" customFormat="false" ht="15" hidden="false" customHeight="false" outlineLevel="0" collapsed="false">
      <c r="A110" s="4" t="s">
        <v>3</v>
      </c>
      <c r="B110" s="5" t="s">
        <v>114</v>
      </c>
      <c r="C110" s="5"/>
      <c r="D110" s="5"/>
      <c r="F110" s="6" t="s">
        <v>5</v>
      </c>
      <c r="G110" s="6" t="s">
        <v>6</v>
      </c>
      <c r="H110" s="6" t="s">
        <v>7</v>
      </c>
      <c r="I110" s="6" t="s">
        <v>8</v>
      </c>
      <c r="J110" s="6" t="s">
        <v>9</v>
      </c>
    </row>
    <row r="111" customFormat="false" ht="15" hidden="false" customHeight="false" outlineLevel="0" collapsed="false">
      <c r="A111" s="7" t="s">
        <v>10</v>
      </c>
      <c r="B111" s="7" t="s">
        <v>11</v>
      </c>
      <c r="C111" s="7" t="s">
        <v>12</v>
      </c>
      <c r="D111" s="7" t="s">
        <v>13</v>
      </c>
      <c r="F111" s="8" t="n">
        <v>7</v>
      </c>
      <c r="G111" s="8" t="n">
        <v>14</v>
      </c>
      <c r="H111" s="8" t="n">
        <v>4</v>
      </c>
      <c r="I111" s="8" t="n">
        <v>5</v>
      </c>
      <c r="J111" s="8" t="n">
        <v>12</v>
      </c>
    </row>
    <row r="112" customFormat="false" ht="15" hidden="false" customHeight="false" outlineLevel="0" collapsed="false">
      <c r="A112" s="9" t="s">
        <v>14</v>
      </c>
      <c r="B112" s="10" t="s">
        <v>115</v>
      </c>
      <c r="C112" s="11" t="s">
        <v>16</v>
      </c>
      <c r="D112" s="12" t="n">
        <f aca="false">20+0.5*F111+7*I111</f>
        <v>58.5</v>
      </c>
    </row>
    <row r="113" customFormat="false" ht="15" hidden="false" customHeight="false" outlineLevel="0" collapsed="false">
      <c r="A113" s="9" t="s">
        <v>17</v>
      </c>
      <c r="B113" s="10" t="s">
        <v>116</v>
      </c>
      <c r="C113" s="11" t="s">
        <v>19</v>
      </c>
      <c r="D113" s="12" t="n">
        <f aca="false">10+4*H111+0*I111</f>
        <v>26</v>
      </c>
    </row>
    <row r="114" customFormat="false" ht="15" hidden="false" customHeight="false" outlineLevel="0" collapsed="false">
      <c r="A114" s="9" t="s">
        <v>20</v>
      </c>
      <c r="B114" s="10" t="s">
        <v>117</v>
      </c>
      <c r="C114" s="11" t="s">
        <v>22</v>
      </c>
      <c r="D114" s="12" t="n">
        <f aca="false">0+2*F111+1.4*G111</f>
        <v>33.6</v>
      </c>
    </row>
    <row r="115" customFormat="false" ht="15" hidden="false" customHeight="false" outlineLevel="0" collapsed="false">
      <c r="A115" s="9" t="s">
        <v>23</v>
      </c>
      <c r="B115" s="10" t="s">
        <v>118</v>
      </c>
      <c r="C115" s="11" t="s">
        <v>22</v>
      </c>
      <c r="D115" s="12" t="n">
        <f aca="false">0+0.9*H111+0.2*J111</f>
        <v>6</v>
      </c>
    </row>
    <row r="116" customFormat="false" ht="15" hidden="false" customHeight="false" outlineLevel="0" collapsed="false">
      <c r="A116" s="9" t="s">
        <v>25</v>
      </c>
      <c r="B116" s="10" t="s">
        <v>106</v>
      </c>
      <c r="C116" s="11" t="s">
        <v>27</v>
      </c>
      <c r="D116" s="12" t="n">
        <f aca="false">0+0.7*I111+0.1*F111</f>
        <v>4.2</v>
      </c>
    </row>
    <row r="117" customFormat="false" ht="15" hidden="false" customHeight="false" outlineLevel="0" collapsed="false">
      <c r="A117" s="9" t="s">
        <v>28</v>
      </c>
      <c r="B117" s="10" t="s">
        <v>119</v>
      </c>
      <c r="C117" s="11" t="s">
        <v>27</v>
      </c>
      <c r="D117" s="12" t="n">
        <f aca="false">0+0.6*H111+0.4*I111</f>
        <v>4.4</v>
      </c>
    </row>
    <row r="118" customFormat="false" ht="15" hidden="false" customHeight="false" outlineLevel="0" collapsed="false">
      <c r="A118" s="9" t="s">
        <v>30</v>
      </c>
      <c r="B118" s="10" t="s">
        <v>120</v>
      </c>
      <c r="C118" s="11" t="s">
        <v>32</v>
      </c>
      <c r="D118" s="12" t="n">
        <f aca="false">MIN(MAX(0.9+0.028*G111,0.3),3)</f>
        <v>1.292</v>
      </c>
    </row>
    <row r="119" customFormat="false" ht="15" hidden="false" customHeight="false" outlineLevel="0" collapsed="false">
      <c r="A119" s="9" t="s">
        <v>33</v>
      </c>
      <c r="B119" s="10" t="s">
        <v>121</v>
      </c>
      <c r="C119" s="11" t="s">
        <v>35</v>
      </c>
      <c r="D119" s="12" t="n">
        <f aca="false">MIN(MAX(8+0.6*J111+0.08*G111,0),80)</f>
        <v>16.32</v>
      </c>
    </row>
    <row r="120" customFormat="false" ht="15" hidden="false" customHeight="false" outlineLevel="0" collapsed="false">
      <c r="A120" s="9" t="s">
        <v>36</v>
      </c>
      <c r="B120" s="10" t="s">
        <v>122</v>
      </c>
      <c r="C120" s="11" t="s">
        <v>35</v>
      </c>
      <c r="D120" s="12" t="n">
        <f aca="false">170+1.2*J111</f>
        <v>184.4</v>
      </c>
    </row>
    <row r="121" customFormat="false" ht="15" hidden="false" customHeight="false" outlineLevel="0" collapsed="false">
      <c r="A121" s="9" t="s">
        <v>38</v>
      </c>
      <c r="B121" s="10" t="s">
        <v>123</v>
      </c>
      <c r="C121" s="11" t="s">
        <v>40</v>
      </c>
      <c r="D121" s="12" t="n">
        <f aca="false">3.6+0.04*G111</f>
        <v>4.16</v>
      </c>
    </row>
    <row r="122" customFormat="false" ht="15" hidden="false" customHeight="false" outlineLevel="0" collapsed="false">
      <c r="A122" s="9" t="s">
        <v>41</v>
      </c>
      <c r="B122" s="10" t="s">
        <v>67</v>
      </c>
      <c r="C122" s="11" t="s">
        <v>43</v>
      </c>
      <c r="D122" s="12" t="n">
        <f aca="false">0.3+0.05*I111</f>
        <v>0.55</v>
      </c>
    </row>
    <row r="123" customFormat="false" ht="15" hidden="false" customHeight="false" outlineLevel="0" collapsed="false">
      <c r="A123" s="9" t="s">
        <v>44</v>
      </c>
      <c r="B123" s="10" t="s">
        <v>96</v>
      </c>
      <c r="C123" s="11" t="s">
        <v>46</v>
      </c>
      <c r="D123" s="12" t="n">
        <f aca="false">0.3+0.03*H111</f>
        <v>0.42</v>
      </c>
    </row>
    <row r="124" customFormat="false" ht="15" hidden="false" customHeight="false" outlineLevel="0" collapsed="false">
      <c r="A124" s="9" t="s">
        <v>47</v>
      </c>
      <c r="B124" s="10" t="s">
        <v>124</v>
      </c>
      <c r="C124" s="11" t="s">
        <v>35</v>
      </c>
      <c r="D124" s="12" t="n">
        <f aca="false">MIN(MAX(0.3*G111+0.2*J111,0),75)</f>
        <v>6.6</v>
      </c>
    </row>
    <row r="125" customFormat="false" ht="15" hidden="false" customHeight="false" outlineLevel="0" collapsed="false">
      <c r="A125" s="9" t="s">
        <v>49</v>
      </c>
      <c r="B125" s="10" t="s">
        <v>125</v>
      </c>
      <c r="C125" s="11" t="s">
        <v>35</v>
      </c>
      <c r="D125" s="12" t="n">
        <f aca="false">0.12*J111</f>
        <v>1.44</v>
      </c>
    </row>
    <row r="126" customFormat="false" ht="15" hidden="false" customHeight="false" outlineLevel="0" collapsed="false">
      <c r="A126" s="9" t="s">
        <v>51</v>
      </c>
      <c r="B126" s="10" t="s">
        <v>52</v>
      </c>
      <c r="C126" s="11" t="s">
        <v>35</v>
      </c>
      <c r="D126" s="12" t="n">
        <f aca="false">0</f>
        <v>0</v>
      </c>
    </row>
    <row r="127" customFormat="false" ht="15" hidden="false" customHeight="false" outlineLevel="0" collapsed="false">
      <c r="A127" s="9" t="s">
        <v>53</v>
      </c>
      <c r="B127" s="10" t="s">
        <v>99</v>
      </c>
      <c r="C127" s="11" t="s">
        <v>55</v>
      </c>
      <c r="D127" s="12" t="n">
        <f aca="false">1.8</f>
        <v>1.8</v>
      </c>
    </row>
    <row r="130" customFormat="false" ht="15" hidden="false" customHeight="false" outlineLevel="0" collapsed="false">
      <c r="A130" s="3" t="s">
        <v>126</v>
      </c>
      <c r="B130" s="3"/>
      <c r="C130" s="3"/>
      <c r="D130" s="3"/>
    </row>
    <row r="131" customFormat="false" ht="15" hidden="false" customHeight="false" outlineLevel="0" collapsed="false">
      <c r="A131" s="4" t="s">
        <v>3</v>
      </c>
      <c r="B131" s="5" t="s">
        <v>127</v>
      </c>
      <c r="C131" s="5"/>
      <c r="D131" s="5"/>
      <c r="F131" s="6" t="s">
        <v>5</v>
      </c>
      <c r="G131" s="6" t="s">
        <v>6</v>
      </c>
      <c r="H131" s="6" t="s">
        <v>7</v>
      </c>
      <c r="I131" s="6" t="s">
        <v>8</v>
      </c>
      <c r="J131" s="6" t="s">
        <v>9</v>
      </c>
    </row>
    <row r="132" customFormat="false" ht="15" hidden="false" customHeight="false" outlineLevel="0" collapsed="false">
      <c r="A132" s="7" t="s">
        <v>10</v>
      </c>
      <c r="B132" s="7" t="s">
        <v>11</v>
      </c>
      <c r="C132" s="7" t="s">
        <v>12</v>
      </c>
      <c r="D132" s="7" t="s">
        <v>13</v>
      </c>
      <c r="F132" s="8" t="n">
        <v>25</v>
      </c>
      <c r="G132" s="8" t="n">
        <v>14</v>
      </c>
      <c r="H132" s="8" t="n">
        <v>18</v>
      </c>
      <c r="I132" s="8" t="n">
        <v>30</v>
      </c>
      <c r="J132" s="8" t="n">
        <v>10</v>
      </c>
    </row>
    <row r="133" customFormat="false" ht="15" hidden="false" customHeight="false" outlineLevel="0" collapsed="false">
      <c r="A133" s="9" t="s">
        <v>14</v>
      </c>
      <c r="B133" s="10" t="s">
        <v>128</v>
      </c>
      <c r="C133" s="11" t="s">
        <v>16</v>
      </c>
      <c r="D133" s="12" t="n">
        <f aca="false">500+8*F132+80*I132</f>
        <v>3100</v>
      </c>
    </row>
    <row r="134" customFormat="false" ht="15" hidden="false" customHeight="false" outlineLevel="0" collapsed="false">
      <c r="A134" s="9" t="s">
        <v>17</v>
      </c>
      <c r="B134" s="10" t="s">
        <v>129</v>
      </c>
      <c r="C134" s="11" t="s">
        <v>19</v>
      </c>
      <c r="D134" s="12" t="n">
        <f aca="false">100+18*H132+2*I132</f>
        <v>484</v>
      </c>
    </row>
    <row r="135" customFormat="false" ht="15" hidden="false" customHeight="false" outlineLevel="0" collapsed="false">
      <c r="A135" s="9" t="s">
        <v>20</v>
      </c>
      <c r="B135" s="10" t="s">
        <v>130</v>
      </c>
      <c r="C135" s="11" t="s">
        <v>22</v>
      </c>
      <c r="D135" s="12" t="n">
        <f aca="false">10+4*F132+1*G132</f>
        <v>124</v>
      </c>
    </row>
    <row r="136" customFormat="false" ht="15" hidden="false" customHeight="false" outlineLevel="0" collapsed="false">
      <c r="A136" s="9" t="s">
        <v>23</v>
      </c>
      <c r="B136" s="10" t="s">
        <v>131</v>
      </c>
      <c r="C136" s="11" t="s">
        <v>22</v>
      </c>
      <c r="D136" s="12" t="n">
        <f aca="false">10+4*H132+0.5*J132</f>
        <v>87</v>
      </c>
    </row>
    <row r="137" customFormat="false" ht="15" hidden="false" customHeight="false" outlineLevel="0" collapsed="false">
      <c r="A137" s="9" t="s">
        <v>25</v>
      </c>
      <c r="B137" s="10" t="s">
        <v>132</v>
      </c>
      <c r="C137" s="11" t="s">
        <v>27</v>
      </c>
      <c r="D137" s="12" t="n">
        <f aca="false">10+2*I132+0.5*F132</f>
        <v>82.5</v>
      </c>
    </row>
    <row r="138" customFormat="false" ht="15" hidden="false" customHeight="false" outlineLevel="0" collapsed="false">
      <c r="A138" s="9" t="s">
        <v>28</v>
      </c>
      <c r="B138" s="10" t="s">
        <v>133</v>
      </c>
      <c r="C138" s="11" t="s">
        <v>27</v>
      </c>
      <c r="D138" s="12" t="n">
        <f aca="false">10+1.5*H132+1.8*I132</f>
        <v>91</v>
      </c>
    </row>
    <row r="139" customFormat="false" ht="15" hidden="false" customHeight="false" outlineLevel="0" collapsed="false">
      <c r="A139" s="9" t="s">
        <v>30</v>
      </c>
      <c r="B139" s="10" t="s">
        <v>134</v>
      </c>
      <c r="C139" s="11" t="s">
        <v>32</v>
      </c>
      <c r="D139" s="12" t="n">
        <f aca="false">MIN(MAX(0.6+0.014*G132,0.3),3)</f>
        <v>0.796</v>
      </c>
    </row>
    <row r="140" customFormat="false" ht="15" hidden="false" customHeight="false" outlineLevel="0" collapsed="false">
      <c r="A140" s="9" t="s">
        <v>33</v>
      </c>
      <c r="B140" s="10" t="s">
        <v>135</v>
      </c>
      <c r="C140" s="11" t="s">
        <v>35</v>
      </c>
      <c r="D140" s="12" t="n">
        <f aca="false">MIN(MAX(5+0.3*J132+0.05*G132,0),80)</f>
        <v>8.7</v>
      </c>
    </row>
    <row r="141" customFormat="false" ht="15" hidden="false" customHeight="false" outlineLevel="0" collapsed="false">
      <c r="A141" s="9" t="s">
        <v>36</v>
      </c>
      <c r="B141" s="10" t="s">
        <v>136</v>
      </c>
      <c r="C141" s="11" t="s">
        <v>35</v>
      </c>
      <c r="D141" s="12" t="n">
        <f aca="false">160+0.5*J132</f>
        <v>165</v>
      </c>
    </row>
    <row r="142" customFormat="false" ht="15" hidden="false" customHeight="false" outlineLevel="0" collapsed="false">
      <c r="A142" s="9" t="s">
        <v>38</v>
      </c>
      <c r="B142" s="10" t="s">
        <v>137</v>
      </c>
      <c r="C142" s="11" t="s">
        <v>40</v>
      </c>
      <c r="D142" s="12" t="n">
        <f aca="false">2+0.015*G132</f>
        <v>2.21</v>
      </c>
    </row>
    <row r="143" customFormat="false" ht="15" hidden="false" customHeight="false" outlineLevel="0" collapsed="false">
      <c r="A143" s="9" t="s">
        <v>41</v>
      </c>
      <c r="B143" s="10" t="s">
        <v>138</v>
      </c>
      <c r="C143" s="11" t="s">
        <v>43</v>
      </c>
      <c r="D143" s="12" t="n">
        <f aca="false">2+0.3*I132</f>
        <v>11</v>
      </c>
    </row>
    <row r="144" customFormat="false" ht="15" hidden="false" customHeight="false" outlineLevel="0" collapsed="false">
      <c r="A144" s="9" t="s">
        <v>44</v>
      </c>
      <c r="B144" s="10" t="s">
        <v>139</v>
      </c>
      <c r="C144" s="11" t="s">
        <v>46</v>
      </c>
      <c r="D144" s="12" t="n">
        <f aca="false">2+0.12*H132</f>
        <v>4.16</v>
      </c>
    </row>
    <row r="145" customFormat="false" ht="15" hidden="false" customHeight="false" outlineLevel="0" collapsed="false">
      <c r="A145" s="9" t="s">
        <v>47</v>
      </c>
      <c r="B145" s="10" t="s">
        <v>140</v>
      </c>
      <c r="C145" s="11" t="s">
        <v>35</v>
      </c>
      <c r="D145" s="12" t="n">
        <f aca="false">MIN(MAX(0.1*G132+0.05*J132,0),75)</f>
        <v>1.9</v>
      </c>
    </row>
    <row r="146" customFormat="false" ht="15" hidden="false" customHeight="false" outlineLevel="0" collapsed="false">
      <c r="A146" s="9" t="s">
        <v>49</v>
      </c>
      <c r="B146" s="10" t="s">
        <v>50</v>
      </c>
      <c r="C146" s="11" t="s">
        <v>35</v>
      </c>
      <c r="D146" s="12" t="n">
        <f aca="false">0.05*J132</f>
        <v>0.5</v>
      </c>
    </row>
    <row r="147" customFormat="false" ht="15" hidden="false" customHeight="false" outlineLevel="0" collapsed="false">
      <c r="A147" s="9" t="s">
        <v>51</v>
      </c>
      <c r="B147" s="10" t="s">
        <v>141</v>
      </c>
      <c r="C147" s="11" t="s">
        <v>35</v>
      </c>
      <c r="D147" s="12" t="n">
        <f aca="false">90</f>
        <v>90</v>
      </c>
    </row>
    <row r="148" customFormat="false" ht="15" hidden="false" customHeight="false" outlineLevel="0" collapsed="false">
      <c r="A148" s="9" t="s">
        <v>53</v>
      </c>
      <c r="B148" s="10" t="s">
        <v>142</v>
      </c>
      <c r="C148" s="11" t="s">
        <v>55</v>
      </c>
      <c r="D148" s="12" t="n">
        <f aca="false">3</f>
        <v>3</v>
      </c>
    </row>
  </sheetData>
  <mergeCells count="14">
    <mergeCell ref="A4:D4"/>
    <mergeCell ref="B5:D5"/>
    <mergeCell ref="A25:D25"/>
    <mergeCell ref="B26:D26"/>
    <mergeCell ref="A46:D46"/>
    <mergeCell ref="B47:D47"/>
    <mergeCell ref="A67:D67"/>
    <mergeCell ref="B68:D68"/>
    <mergeCell ref="A88:D88"/>
    <mergeCell ref="B89:D89"/>
    <mergeCell ref="A109:D109"/>
    <mergeCell ref="B110:D110"/>
    <mergeCell ref="A130:D130"/>
    <mergeCell ref="B131:D1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10" min="6" style="0" width="7"/>
  </cols>
  <sheetData>
    <row r="1" customFormat="false" ht="17.35" hidden="false" customHeight="false" outlineLevel="0" collapsed="false">
      <c r="A1" s="1" t="s">
        <v>143</v>
      </c>
    </row>
    <row r="2" customFormat="false" ht="15" hidden="false" customHeight="false" outlineLevel="0" collapsed="false">
      <c r="A2" s="2" t="s">
        <v>144</v>
      </c>
    </row>
    <row r="4" customFormat="false" ht="15" hidden="false" customHeight="false" outlineLevel="0" collapsed="false">
      <c r="A4" s="4" t="s">
        <v>145</v>
      </c>
    </row>
    <row r="5" customFormat="false" ht="15" hidden="false" customHeight="false" outlineLevel="0" collapsed="false">
      <c r="A5" s="7" t="s">
        <v>10</v>
      </c>
      <c r="B5" s="7" t="s">
        <v>146</v>
      </c>
      <c r="C5" s="7" t="s">
        <v>147</v>
      </c>
      <c r="D5" s="7" t="s">
        <v>148</v>
      </c>
    </row>
    <row r="6" customFormat="false" ht="15" hidden="false" customHeight="false" outlineLevel="0" collapsed="false">
      <c r="A6" s="9" t="s">
        <v>14</v>
      </c>
      <c r="B6" s="8" t="n">
        <v>50</v>
      </c>
      <c r="C6" s="8" t="n">
        <v>2</v>
      </c>
      <c r="D6" s="8" t="n">
        <v>12</v>
      </c>
    </row>
    <row r="7" customFormat="false" ht="15" hidden="false" customHeight="false" outlineLevel="0" collapsed="false">
      <c r="A7" s="9" t="s">
        <v>17</v>
      </c>
      <c r="B7" s="8" t="n">
        <v>30</v>
      </c>
      <c r="C7" s="8" t="n">
        <v>10</v>
      </c>
      <c r="D7" s="8" t="n">
        <v>1</v>
      </c>
    </row>
    <row r="8" customFormat="false" ht="15" hidden="false" customHeight="false" outlineLevel="0" collapsed="false">
      <c r="A8" s="9" t="s">
        <v>20</v>
      </c>
      <c r="B8" s="8" t="n">
        <v>0</v>
      </c>
      <c r="C8" s="8" t="n">
        <v>2.2</v>
      </c>
      <c r="D8" s="8" t="n">
        <v>0.8</v>
      </c>
    </row>
    <row r="9" customFormat="false" ht="15" hidden="false" customHeight="false" outlineLevel="0" collapsed="false">
      <c r="A9" s="9" t="s">
        <v>23</v>
      </c>
      <c r="B9" s="8" t="n">
        <v>0</v>
      </c>
      <c r="C9" s="8" t="n">
        <v>2.5</v>
      </c>
      <c r="D9" s="8" t="n">
        <v>0.3</v>
      </c>
    </row>
    <row r="10" customFormat="false" ht="15" hidden="false" customHeight="false" outlineLevel="0" collapsed="false">
      <c r="A10" s="9" t="s">
        <v>25</v>
      </c>
      <c r="B10" s="8" t="n">
        <v>0</v>
      </c>
      <c r="C10" s="8" t="n">
        <v>1.5</v>
      </c>
      <c r="D10" s="8" t="n">
        <v>0.5</v>
      </c>
    </row>
    <row r="11" customFormat="false" ht="15" hidden="false" customHeight="false" outlineLevel="0" collapsed="false">
      <c r="A11" s="9" t="s">
        <v>28</v>
      </c>
      <c r="B11" s="8" t="n">
        <v>0</v>
      </c>
      <c r="C11" s="8" t="n">
        <v>1</v>
      </c>
      <c r="D11" s="8" t="n">
        <v>0.8</v>
      </c>
    </row>
    <row r="12" customFormat="false" ht="15" hidden="false" customHeight="false" outlineLevel="0" collapsed="false">
      <c r="A12" s="9" t="s">
        <v>30</v>
      </c>
      <c r="B12" s="8" t="n">
        <v>0.8</v>
      </c>
      <c r="C12" s="8" t="n">
        <v>0.015</v>
      </c>
      <c r="D12" s="8"/>
    </row>
    <row r="13" customFormat="false" ht="15" hidden="false" customHeight="false" outlineLevel="0" collapsed="false">
      <c r="A13" s="9" t="s">
        <v>33</v>
      </c>
      <c r="B13" s="8" t="n">
        <v>5</v>
      </c>
      <c r="C13" s="8" t="n">
        <v>0.35</v>
      </c>
      <c r="D13" s="8" t="n">
        <v>0.05</v>
      </c>
    </row>
    <row r="14" customFormat="false" ht="15" hidden="false" customHeight="false" outlineLevel="0" collapsed="false">
      <c r="A14" s="9" t="s">
        <v>36</v>
      </c>
      <c r="B14" s="8" t="n">
        <v>150</v>
      </c>
      <c r="C14" s="8" t="n">
        <v>0.8</v>
      </c>
      <c r="D14" s="8"/>
    </row>
    <row r="15" customFormat="false" ht="15" hidden="false" customHeight="false" outlineLevel="0" collapsed="false">
      <c r="A15" s="9" t="s">
        <v>38</v>
      </c>
      <c r="B15" s="8" t="n">
        <v>3</v>
      </c>
      <c r="C15" s="8" t="n">
        <v>0.02</v>
      </c>
      <c r="D15" s="8"/>
    </row>
    <row r="16" customFormat="false" ht="15" hidden="false" customHeight="false" outlineLevel="0" collapsed="false">
      <c r="A16" s="9" t="s">
        <v>41</v>
      </c>
      <c r="B16" s="8" t="n">
        <v>1</v>
      </c>
      <c r="C16" s="8" t="n">
        <v>0.1</v>
      </c>
      <c r="D16" s="8"/>
    </row>
    <row r="17" customFormat="false" ht="15" hidden="false" customHeight="false" outlineLevel="0" collapsed="false">
      <c r="A17" s="9" t="s">
        <v>44</v>
      </c>
      <c r="B17" s="8" t="n">
        <v>1</v>
      </c>
      <c r="C17" s="8" t="n">
        <v>0.08</v>
      </c>
      <c r="D17" s="8"/>
    </row>
    <row r="18" customFormat="false" ht="15" hidden="false" customHeight="false" outlineLevel="0" collapsed="false">
      <c r="A18" s="9" t="s">
        <v>47</v>
      </c>
      <c r="B18" s="8" t="n">
        <v>0</v>
      </c>
      <c r="C18" s="8" t="n">
        <v>0.25</v>
      </c>
      <c r="D18" s="8" t="n">
        <v>0.1</v>
      </c>
    </row>
    <row r="19" customFormat="false" ht="15" hidden="false" customHeight="false" outlineLevel="0" collapsed="false">
      <c r="A19" s="9" t="s">
        <v>49</v>
      </c>
      <c r="B19" s="8" t="n">
        <v>0</v>
      </c>
      <c r="C19" s="8" t="n">
        <v>0.05</v>
      </c>
      <c r="D19" s="8"/>
    </row>
    <row r="22" customFormat="false" ht="15" hidden="false" customHeight="false" outlineLevel="0" collapsed="false">
      <c r="A22" s="13" t="s">
        <v>2</v>
      </c>
      <c r="B22" s="13"/>
      <c r="C22" s="13"/>
      <c r="D22" s="13"/>
    </row>
    <row r="23" customFormat="false" ht="15" hidden="false" customHeight="false" outlineLevel="0" collapsed="false">
      <c r="A23" s="4" t="s">
        <v>3</v>
      </c>
      <c r="B23" s="5" t="s">
        <v>4</v>
      </c>
      <c r="C23" s="5"/>
      <c r="F23" s="6" t="s">
        <v>5</v>
      </c>
      <c r="G23" s="6" t="s">
        <v>6</v>
      </c>
      <c r="H23" s="6" t="s">
        <v>7</v>
      </c>
      <c r="I23" s="6" t="s">
        <v>8</v>
      </c>
      <c r="J23" s="6" t="s">
        <v>9</v>
      </c>
    </row>
    <row r="24" customFormat="false" ht="15" hidden="false" customHeight="false" outlineLevel="0" collapsed="false">
      <c r="F24" s="8" t="n">
        <v>10</v>
      </c>
      <c r="G24" s="8" t="n">
        <v>10</v>
      </c>
      <c r="H24" s="8" t="n">
        <v>10</v>
      </c>
      <c r="I24" s="8" t="n">
        <v>10</v>
      </c>
      <c r="J24" s="8" t="n">
        <v>10</v>
      </c>
    </row>
    <row r="25" customFormat="false" ht="15" hidden="false" customHeight="false" outlineLevel="0" collapsed="false">
      <c r="A25" s="7" t="s">
        <v>10</v>
      </c>
      <c r="B25" s="7" t="s">
        <v>149</v>
      </c>
      <c r="C25" s="7" t="s">
        <v>150</v>
      </c>
      <c r="D25" s="7" t="s">
        <v>13</v>
      </c>
    </row>
    <row r="26" customFormat="false" ht="15" hidden="false" customHeight="false" outlineLevel="0" collapsed="false">
      <c r="A26" s="9" t="s">
        <v>14</v>
      </c>
      <c r="B26" s="10" t="s">
        <v>151</v>
      </c>
      <c r="C26" s="8" t="n">
        <v>1</v>
      </c>
      <c r="D26" s="12" t="n">
        <f aca="false">(B6+C6*F24+D6*I24)*C26</f>
        <v>190</v>
      </c>
    </row>
    <row r="27" customFormat="false" ht="15" hidden="false" customHeight="false" outlineLevel="0" collapsed="false">
      <c r="A27" s="9" t="s">
        <v>17</v>
      </c>
      <c r="B27" s="10" t="s">
        <v>152</v>
      </c>
      <c r="C27" s="8" t="n">
        <v>1</v>
      </c>
      <c r="D27" s="12" t="n">
        <f aca="false">(B7+C7*H24+D7*I24)*C27</f>
        <v>140</v>
      </c>
    </row>
    <row r="28" customFormat="false" ht="15" hidden="false" customHeight="false" outlineLevel="0" collapsed="false">
      <c r="A28" s="9" t="s">
        <v>20</v>
      </c>
      <c r="B28" s="10" t="s">
        <v>153</v>
      </c>
      <c r="C28" s="8" t="n">
        <v>1</v>
      </c>
      <c r="D28" s="12" t="n">
        <f aca="false">(B8+C8*F24+D8*G24)*C28</f>
        <v>30</v>
      </c>
    </row>
    <row r="29" customFormat="false" ht="15" hidden="false" customHeight="false" outlineLevel="0" collapsed="false">
      <c r="A29" s="9" t="s">
        <v>23</v>
      </c>
      <c r="B29" s="10" t="s">
        <v>154</v>
      </c>
      <c r="C29" s="8" t="n">
        <v>1</v>
      </c>
      <c r="D29" s="12" t="n">
        <f aca="false">(B9+C9*H24+D9*J24)*C29</f>
        <v>28</v>
      </c>
    </row>
    <row r="30" customFormat="false" ht="15" hidden="false" customHeight="false" outlineLevel="0" collapsed="false">
      <c r="A30" s="9" t="s">
        <v>25</v>
      </c>
      <c r="B30" s="10" t="s">
        <v>155</v>
      </c>
      <c r="C30" s="8" t="n">
        <v>1</v>
      </c>
      <c r="D30" s="12" t="n">
        <f aca="false">(B10+C10*I24+D10*F24)*C30</f>
        <v>20</v>
      </c>
    </row>
    <row r="31" customFormat="false" ht="15" hidden="false" customHeight="false" outlineLevel="0" collapsed="false">
      <c r="A31" s="9" t="s">
        <v>28</v>
      </c>
      <c r="B31" s="10" t="s">
        <v>156</v>
      </c>
      <c r="C31" s="8" t="n">
        <v>1</v>
      </c>
      <c r="D31" s="12" t="n">
        <f aca="false">(B11+C11*H24+D11*I24)*C31</f>
        <v>18</v>
      </c>
    </row>
    <row r="32" customFormat="false" ht="15" hidden="false" customHeight="false" outlineLevel="0" collapsed="false">
      <c r="A32" s="9" t="s">
        <v>30</v>
      </c>
      <c r="B32" s="10" t="s">
        <v>157</v>
      </c>
      <c r="C32" s="8" t="n">
        <v>1</v>
      </c>
      <c r="D32" s="12" t="n">
        <f aca="false">(MIN(MAX(B12+C12*G24,0.3),3))*C32</f>
        <v>0.95</v>
      </c>
    </row>
    <row r="33" customFormat="false" ht="15" hidden="false" customHeight="false" outlineLevel="0" collapsed="false">
      <c r="A33" s="9" t="s">
        <v>33</v>
      </c>
      <c r="B33" s="10" t="s">
        <v>158</v>
      </c>
      <c r="C33" s="8" t="n">
        <v>1</v>
      </c>
      <c r="D33" s="12" t="n">
        <f aca="false">(MIN(MAX(B13+C13*J24+D13*G24,0),80))*C33</f>
        <v>9</v>
      </c>
    </row>
    <row r="34" customFormat="false" ht="15" hidden="false" customHeight="false" outlineLevel="0" collapsed="false">
      <c r="A34" s="9" t="s">
        <v>36</v>
      </c>
      <c r="B34" s="10" t="s">
        <v>159</v>
      </c>
      <c r="C34" s="8" t="n">
        <v>1</v>
      </c>
      <c r="D34" s="12" t="n">
        <f aca="false">(B14+C14*J24)*C34</f>
        <v>158</v>
      </c>
    </row>
    <row r="35" customFormat="false" ht="15" hidden="false" customHeight="false" outlineLevel="0" collapsed="false">
      <c r="A35" s="9" t="s">
        <v>38</v>
      </c>
      <c r="B35" s="10" t="s">
        <v>160</v>
      </c>
      <c r="C35" s="8" t="n">
        <v>1</v>
      </c>
      <c r="D35" s="12" t="n">
        <f aca="false">(B15+C15*G24)*C35</f>
        <v>3.2</v>
      </c>
    </row>
    <row r="36" customFormat="false" ht="15" hidden="false" customHeight="false" outlineLevel="0" collapsed="false">
      <c r="A36" s="9" t="s">
        <v>41</v>
      </c>
      <c r="B36" s="10" t="s">
        <v>161</v>
      </c>
      <c r="C36" s="8" t="n">
        <v>1</v>
      </c>
      <c r="D36" s="12" t="n">
        <f aca="false">(B16+C16*I24)*C36</f>
        <v>2</v>
      </c>
    </row>
    <row r="37" customFormat="false" ht="15" hidden="false" customHeight="false" outlineLevel="0" collapsed="false">
      <c r="A37" s="9" t="s">
        <v>44</v>
      </c>
      <c r="B37" s="10" t="s">
        <v>162</v>
      </c>
      <c r="C37" s="8" t="n">
        <v>1</v>
      </c>
      <c r="D37" s="12" t="n">
        <f aca="false">(B17+C17*H24)*C37</f>
        <v>1.8</v>
      </c>
    </row>
    <row r="38" customFormat="false" ht="15" hidden="false" customHeight="false" outlineLevel="0" collapsed="false">
      <c r="A38" s="9" t="s">
        <v>47</v>
      </c>
      <c r="B38" s="10" t="s">
        <v>163</v>
      </c>
      <c r="C38" s="8" t="n">
        <v>1</v>
      </c>
      <c r="D38" s="12" t="n">
        <f aca="false">(MIN(MAX(C18*G24+D18*J24,0),75))*C38</f>
        <v>3.5</v>
      </c>
    </row>
    <row r="39" customFormat="false" ht="15" hidden="false" customHeight="false" outlineLevel="0" collapsed="false">
      <c r="A39" s="9" t="s">
        <v>49</v>
      </c>
      <c r="B39" s="10" t="s">
        <v>164</v>
      </c>
      <c r="C39" s="8" t="n">
        <v>1</v>
      </c>
      <c r="D39" s="12" t="n">
        <f aca="false">(C19*J24)*C39</f>
        <v>0.5</v>
      </c>
    </row>
    <row r="40" customFormat="false" ht="15" hidden="false" customHeight="false" outlineLevel="0" collapsed="false">
      <c r="A40" s="9" t="s">
        <v>51</v>
      </c>
      <c r="B40" s="14" t="s">
        <v>165</v>
      </c>
      <c r="C40" s="11" t="s">
        <v>166</v>
      </c>
      <c r="D40" s="8" t="n">
        <v>0</v>
      </c>
    </row>
    <row r="41" customFormat="false" ht="15" hidden="false" customHeight="false" outlineLevel="0" collapsed="false">
      <c r="A41" s="9" t="s">
        <v>53</v>
      </c>
      <c r="B41" s="14" t="s">
        <v>167</v>
      </c>
      <c r="C41" s="11" t="s">
        <v>166</v>
      </c>
      <c r="D41" s="8" t="n">
        <v>1.5</v>
      </c>
    </row>
    <row r="44" customFormat="false" ht="15" hidden="false" customHeight="false" outlineLevel="0" collapsed="false">
      <c r="A44" s="13" t="s">
        <v>56</v>
      </c>
      <c r="B44" s="13"/>
      <c r="C44" s="13"/>
      <c r="D44" s="13"/>
    </row>
    <row r="45" customFormat="false" ht="15" hidden="false" customHeight="false" outlineLevel="0" collapsed="false">
      <c r="A45" s="4" t="s">
        <v>3</v>
      </c>
      <c r="B45" s="5" t="s">
        <v>57</v>
      </c>
      <c r="C45" s="5"/>
      <c r="F45" s="6" t="s">
        <v>5</v>
      </c>
      <c r="G45" s="6" t="s">
        <v>6</v>
      </c>
      <c r="H45" s="6" t="s">
        <v>7</v>
      </c>
      <c r="I45" s="6" t="s">
        <v>8</v>
      </c>
      <c r="J45" s="6" t="s">
        <v>9</v>
      </c>
    </row>
    <row r="46" customFormat="false" ht="15" hidden="false" customHeight="false" outlineLevel="0" collapsed="false">
      <c r="F46" s="8" t="n">
        <v>8</v>
      </c>
      <c r="G46" s="8" t="n">
        <v>6</v>
      </c>
      <c r="H46" s="8" t="n">
        <v>2</v>
      </c>
      <c r="I46" s="8" t="n">
        <v>8</v>
      </c>
      <c r="J46" s="8" t="n">
        <v>2</v>
      </c>
    </row>
    <row r="47" customFormat="false" ht="15" hidden="false" customHeight="false" outlineLevel="0" collapsed="false">
      <c r="A47" s="7" t="s">
        <v>10</v>
      </c>
      <c r="B47" s="7" t="s">
        <v>149</v>
      </c>
      <c r="C47" s="7" t="s">
        <v>150</v>
      </c>
      <c r="D47" s="7" t="s">
        <v>13</v>
      </c>
    </row>
    <row r="48" customFormat="false" ht="15" hidden="false" customHeight="false" outlineLevel="0" collapsed="false">
      <c r="A48" s="9" t="s">
        <v>14</v>
      </c>
      <c r="B48" s="10" t="s">
        <v>151</v>
      </c>
      <c r="C48" s="8" t="n">
        <v>0.8</v>
      </c>
      <c r="D48" s="12" t="n">
        <f aca="false">(B6+C6*F46+D6*I46)*C48</f>
        <v>129.6</v>
      </c>
    </row>
    <row r="49" customFormat="false" ht="15" hidden="false" customHeight="false" outlineLevel="0" collapsed="false">
      <c r="A49" s="9" t="s">
        <v>17</v>
      </c>
      <c r="B49" s="10" t="s">
        <v>152</v>
      </c>
      <c r="C49" s="8" t="n">
        <v>0.3</v>
      </c>
      <c r="D49" s="12" t="n">
        <f aca="false">(B7+C7*H46+D7*I46)*C49</f>
        <v>17.4</v>
      </c>
    </row>
    <row r="50" customFormat="false" ht="15" hidden="false" customHeight="false" outlineLevel="0" collapsed="false">
      <c r="A50" s="9" t="s">
        <v>20</v>
      </c>
      <c r="B50" s="10" t="s">
        <v>153</v>
      </c>
      <c r="C50" s="8" t="n">
        <v>1.1</v>
      </c>
      <c r="D50" s="12" t="n">
        <f aca="false">(B8+C8*F46+D8*G46)*C50</f>
        <v>24.64</v>
      </c>
    </row>
    <row r="51" customFormat="false" ht="15" hidden="false" customHeight="false" outlineLevel="0" collapsed="false">
      <c r="A51" s="9" t="s">
        <v>23</v>
      </c>
      <c r="B51" s="10" t="s">
        <v>154</v>
      </c>
      <c r="C51" s="8" t="n">
        <v>0.2</v>
      </c>
      <c r="D51" s="12" t="n">
        <f aca="false">(B9+C9*H46+D9*J46)*C51</f>
        <v>1.12</v>
      </c>
    </row>
    <row r="52" customFormat="false" ht="15" hidden="false" customHeight="false" outlineLevel="0" collapsed="false">
      <c r="A52" s="9" t="s">
        <v>25</v>
      </c>
      <c r="B52" s="10" t="s">
        <v>155</v>
      </c>
      <c r="C52" s="8" t="n">
        <v>0.8</v>
      </c>
      <c r="D52" s="12" t="n">
        <f aca="false">(B10+C10*I46+D10*F46)*C52</f>
        <v>12.8</v>
      </c>
    </row>
    <row r="53" customFormat="false" ht="15" hidden="false" customHeight="false" outlineLevel="0" collapsed="false">
      <c r="A53" s="9" t="s">
        <v>28</v>
      </c>
      <c r="B53" s="10" t="s">
        <v>156</v>
      </c>
      <c r="C53" s="8" t="n">
        <v>0.6</v>
      </c>
      <c r="D53" s="12" t="n">
        <f aca="false">(B11+C11*H46+D11*I46)*C53</f>
        <v>5.04</v>
      </c>
    </row>
    <row r="54" customFormat="false" ht="15" hidden="false" customHeight="false" outlineLevel="0" collapsed="false">
      <c r="A54" s="9" t="s">
        <v>30</v>
      </c>
      <c r="B54" s="10" t="s">
        <v>157</v>
      </c>
      <c r="C54" s="8" t="n">
        <v>1</v>
      </c>
      <c r="D54" s="12" t="n">
        <f aca="false">(MIN(MAX(B12+C12*G46,0.3),3))*C54</f>
        <v>0.89</v>
      </c>
    </row>
    <row r="55" customFormat="false" ht="15" hidden="false" customHeight="false" outlineLevel="0" collapsed="false">
      <c r="A55" s="9" t="s">
        <v>33</v>
      </c>
      <c r="B55" s="10" t="s">
        <v>158</v>
      </c>
      <c r="C55" s="8" t="n">
        <v>0.7</v>
      </c>
      <c r="D55" s="12" t="n">
        <f aca="false">(MIN(MAX(B13+C13*J46+D13*G46,0),80))*C55</f>
        <v>4.2</v>
      </c>
    </row>
    <row r="56" customFormat="false" ht="15" hidden="false" customHeight="false" outlineLevel="0" collapsed="false">
      <c r="A56" s="9" t="s">
        <v>36</v>
      </c>
      <c r="B56" s="10" t="s">
        <v>159</v>
      </c>
      <c r="C56" s="8" t="n">
        <v>1</v>
      </c>
      <c r="D56" s="12" t="n">
        <f aca="false">(B14+C14*J46)*C56</f>
        <v>151.6</v>
      </c>
    </row>
    <row r="57" customFormat="false" ht="15" hidden="false" customHeight="false" outlineLevel="0" collapsed="false">
      <c r="A57" s="9" t="s">
        <v>38</v>
      </c>
      <c r="B57" s="10" t="s">
        <v>160</v>
      </c>
      <c r="C57" s="8" t="n">
        <v>0.9</v>
      </c>
      <c r="D57" s="12" t="n">
        <f aca="false">(B15+C15*G46)*C57</f>
        <v>2.808</v>
      </c>
    </row>
    <row r="58" customFormat="false" ht="15" hidden="false" customHeight="false" outlineLevel="0" collapsed="false">
      <c r="A58" s="9" t="s">
        <v>41</v>
      </c>
      <c r="B58" s="10" t="s">
        <v>161</v>
      </c>
      <c r="C58" s="8" t="n">
        <v>0.5</v>
      </c>
      <c r="D58" s="12" t="n">
        <f aca="false">(B16+C16*I46)*C58</f>
        <v>0.9</v>
      </c>
    </row>
    <row r="59" customFormat="false" ht="15" hidden="false" customHeight="false" outlineLevel="0" collapsed="false">
      <c r="A59" s="9" t="s">
        <v>44</v>
      </c>
      <c r="B59" s="10" t="s">
        <v>162</v>
      </c>
      <c r="C59" s="8" t="n">
        <v>0.3</v>
      </c>
      <c r="D59" s="12" t="n">
        <f aca="false">(B17+C17*H46)*C59</f>
        <v>0.348</v>
      </c>
    </row>
    <row r="60" customFormat="false" ht="15" hidden="false" customHeight="false" outlineLevel="0" collapsed="false">
      <c r="A60" s="9" t="s">
        <v>47</v>
      </c>
      <c r="B60" s="10" t="s">
        <v>163</v>
      </c>
      <c r="C60" s="8" t="n">
        <v>0.5</v>
      </c>
      <c r="D60" s="12" t="n">
        <f aca="false">(MIN(MAX(C18*G46+D18*J46,0),75))*C60</f>
        <v>0.85</v>
      </c>
    </row>
    <row r="61" customFormat="false" ht="15" hidden="false" customHeight="false" outlineLevel="0" collapsed="false">
      <c r="A61" s="9" t="s">
        <v>49</v>
      </c>
      <c r="B61" s="10" t="s">
        <v>164</v>
      </c>
      <c r="C61" s="8" t="n">
        <v>0</v>
      </c>
      <c r="D61" s="12" t="n">
        <f aca="false">(C19*J46)*C61</f>
        <v>0</v>
      </c>
    </row>
    <row r="62" customFormat="false" ht="15" hidden="false" customHeight="false" outlineLevel="0" collapsed="false">
      <c r="A62" s="9" t="s">
        <v>51</v>
      </c>
      <c r="B62" s="14" t="s">
        <v>165</v>
      </c>
      <c r="C62" s="11" t="s">
        <v>166</v>
      </c>
      <c r="D62" s="8" t="n">
        <v>0</v>
      </c>
    </row>
    <row r="63" customFormat="false" ht="15" hidden="false" customHeight="false" outlineLevel="0" collapsed="false">
      <c r="A63" s="9" t="s">
        <v>53</v>
      </c>
      <c r="B63" s="14" t="s">
        <v>167</v>
      </c>
      <c r="C63" s="11" t="s">
        <v>166</v>
      </c>
      <c r="D63" s="8" t="n">
        <v>1.5</v>
      </c>
    </row>
    <row r="66" customFormat="false" ht="15" hidden="false" customHeight="false" outlineLevel="0" collapsed="false">
      <c r="A66" s="13" t="s">
        <v>71</v>
      </c>
      <c r="B66" s="13"/>
      <c r="C66" s="13"/>
      <c r="D66" s="13"/>
    </row>
    <row r="67" customFormat="false" ht="15" hidden="false" customHeight="false" outlineLevel="0" collapsed="false">
      <c r="A67" s="4" t="s">
        <v>3</v>
      </c>
      <c r="B67" s="5" t="s">
        <v>72</v>
      </c>
      <c r="C67" s="5"/>
      <c r="F67" s="6" t="s">
        <v>5</v>
      </c>
      <c r="G67" s="6" t="s">
        <v>6</v>
      </c>
      <c r="H67" s="6" t="s">
        <v>7</v>
      </c>
      <c r="I67" s="6" t="s">
        <v>8</v>
      </c>
      <c r="J67" s="6" t="s">
        <v>9</v>
      </c>
    </row>
    <row r="68" customFormat="false" ht="15" hidden="false" customHeight="false" outlineLevel="0" collapsed="false">
      <c r="F68" s="8" t="n">
        <v>3</v>
      </c>
      <c r="G68" s="8" t="n">
        <v>5</v>
      </c>
      <c r="H68" s="8" t="n">
        <v>14</v>
      </c>
      <c r="I68" s="8" t="n">
        <v>5</v>
      </c>
      <c r="J68" s="8" t="n">
        <v>4</v>
      </c>
    </row>
    <row r="69" customFormat="false" ht="15" hidden="false" customHeight="false" outlineLevel="0" collapsed="false">
      <c r="A69" s="7" t="s">
        <v>10</v>
      </c>
      <c r="B69" s="7" t="s">
        <v>149</v>
      </c>
      <c r="C69" s="7" t="s">
        <v>150</v>
      </c>
      <c r="D69" s="7" t="s">
        <v>13</v>
      </c>
    </row>
    <row r="70" customFormat="false" ht="15" hidden="false" customHeight="false" outlineLevel="0" collapsed="false">
      <c r="A70" s="9" t="s">
        <v>14</v>
      </c>
      <c r="B70" s="10" t="s">
        <v>151</v>
      </c>
      <c r="C70" s="8" t="n">
        <v>0.6</v>
      </c>
      <c r="D70" s="12" t="n">
        <f aca="false">(B6+C6*F68+D6*I68)*C70</f>
        <v>69.6</v>
      </c>
    </row>
    <row r="71" customFormat="false" ht="15" hidden="false" customHeight="false" outlineLevel="0" collapsed="false">
      <c r="A71" s="9" t="s">
        <v>17</v>
      </c>
      <c r="B71" s="10" t="s">
        <v>152</v>
      </c>
      <c r="C71" s="8" t="n">
        <v>1.5</v>
      </c>
      <c r="D71" s="12" t="n">
        <f aca="false">(B7+C7*H68+D7*I68)*C71</f>
        <v>262.5</v>
      </c>
    </row>
    <row r="72" customFormat="false" ht="15" hidden="false" customHeight="false" outlineLevel="0" collapsed="false">
      <c r="A72" s="9" t="s">
        <v>20</v>
      </c>
      <c r="B72" s="10" t="s">
        <v>153</v>
      </c>
      <c r="C72" s="8" t="n">
        <v>0.4</v>
      </c>
      <c r="D72" s="12" t="n">
        <f aca="false">(B8+C8*F68+D8*G68)*C72</f>
        <v>4.24</v>
      </c>
    </row>
    <row r="73" customFormat="false" ht="15" hidden="false" customHeight="false" outlineLevel="0" collapsed="false">
      <c r="A73" s="9" t="s">
        <v>23</v>
      </c>
      <c r="B73" s="10" t="s">
        <v>154</v>
      </c>
      <c r="C73" s="8" t="n">
        <v>1.6</v>
      </c>
      <c r="D73" s="12" t="n">
        <f aca="false">(B9+C9*H68+D9*J68)*C73</f>
        <v>57.92</v>
      </c>
    </row>
    <row r="74" customFormat="false" ht="15" hidden="false" customHeight="false" outlineLevel="0" collapsed="false">
      <c r="A74" s="9" t="s">
        <v>25</v>
      </c>
      <c r="B74" s="10" t="s">
        <v>155</v>
      </c>
      <c r="C74" s="8" t="n">
        <v>0.5</v>
      </c>
      <c r="D74" s="12" t="n">
        <f aca="false">(B10+C10*I68+D10*F68)*C74</f>
        <v>4.5</v>
      </c>
    </row>
    <row r="75" customFormat="false" ht="15" hidden="false" customHeight="false" outlineLevel="0" collapsed="false">
      <c r="A75" s="9" t="s">
        <v>28</v>
      </c>
      <c r="B75" s="10" t="s">
        <v>156</v>
      </c>
      <c r="C75" s="8" t="n">
        <v>0.8</v>
      </c>
      <c r="D75" s="12" t="n">
        <f aca="false">(B11+C11*H68+D11*I68)*C75</f>
        <v>14.4</v>
      </c>
    </row>
    <row r="76" customFormat="false" ht="15" hidden="false" customHeight="false" outlineLevel="0" collapsed="false">
      <c r="A76" s="9" t="s">
        <v>30</v>
      </c>
      <c r="B76" s="10" t="s">
        <v>157</v>
      </c>
      <c r="C76" s="8" t="n">
        <v>0.8</v>
      </c>
      <c r="D76" s="12" t="n">
        <f aca="false">(MIN(MAX(B12+C12*G68,0.3),3))*C76</f>
        <v>0.7</v>
      </c>
    </row>
    <row r="77" customFormat="false" ht="15" hidden="false" customHeight="false" outlineLevel="0" collapsed="false">
      <c r="A77" s="9" t="s">
        <v>33</v>
      </c>
      <c r="B77" s="10" t="s">
        <v>158</v>
      </c>
      <c r="C77" s="8" t="n">
        <v>0.6</v>
      </c>
      <c r="D77" s="12" t="n">
        <f aca="false">(MIN(MAX(B13+C13*J68+D13*G68,0),80))*C77</f>
        <v>3.99</v>
      </c>
    </row>
    <row r="78" customFormat="false" ht="15" hidden="false" customHeight="false" outlineLevel="0" collapsed="false">
      <c r="A78" s="9" t="s">
        <v>36</v>
      </c>
      <c r="B78" s="10" t="s">
        <v>159</v>
      </c>
      <c r="C78" s="8" t="n">
        <v>1</v>
      </c>
      <c r="D78" s="12" t="n">
        <f aca="false">(B14+C14*J68)*C78</f>
        <v>153.2</v>
      </c>
    </row>
    <row r="79" customFormat="false" ht="15" hidden="false" customHeight="false" outlineLevel="0" collapsed="false">
      <c r="A79" s="9" t="s">
        <v>38</v>
      </c>
      <c r="B79" s="10" t="s">
        <v>160</v>
      </c>
      <c r="C79" s="8" t="n">
        <v>0.8</v>
      </c>
      <c r="D79" s="12" t="n">
        <f aca="false">(B15+C15*G68)*C79</f>
        <v>2.48</v>
      </c>
    </row>
    <row r="80" customFormat="false" ht="15" hidden="false" customHeight="false" outlineLevel="0" collapsed="false">
      <c r="A80" s="9" t="s">
        <v>41</v>
      </c>
      <c r="B80" s="10" t="s">
        <v>161</v>
      </c>
      <c r="C80" s="8" t="n">
        <v>0.5</v>
      </c>
      <c r="D80" s="12" t="n">
        <f aca="false">(B16+C16*I68)*C80</f>
        <v>0.75</v>
      </c>
    </row>
    <row r="81" customFormat="false" ht="15" hidden="false" customHeight="false" outlineLevel="0" collapsed="false">
      <c r="A81" s="9" t="s">
        <v>44</v>
      </c>
      <c r="B81" s="10" t="s">
        <v>162</v>
      </c>
      <c r="C81" s="8" t="n">
        <v>1.3</v>
      </c>
      <c r="D81" s="12" t="n">
        <f aca="false">(B17+C17*H68)*C81</f>
        <v>2.756</v>
      </c>
    </row>
    <row r="82" customFormat="false" ht="15" hidden="false" customHeight="false" outlineLevel="0" collapsed="false">
      <c r="A82" s="9" t="s">
        <v>47</v>
      </c>
      <c r="B82" s="10" t="s">
        <v>163</v>
      </c>
      <c r="C82" s="8" t="n">
        <v>0.6</v>
      </c>
      <c r="D82" s="12" t="n">
        <f aca="false">(MIN(MAX(C18*G68+D18*J68,0),75))*C82</f>
        <v>0.99</v>
      </c>
    </row>
    <row r="83" customFormat="false" ht="15" hidden="false" customHeight="false" outlineLevel="0" collapsed="false">
      <c r="A83" s="9" t="s">
        <v>49</v>
      </c>
      <c r="B83" s="10" t="s">
        <v>164</v>
      </c>
      <c r="C83" s="8" t="n">
        <v>0</v>
      </c>
      <c r="D83" s="12" t="n">
        <f aca="false">(C19*J68)*C83</f>
        <v>0</v>
      </c>
    </row>
    <row r="84" customFormat="false" ht="15" hidden="false" customHeight="false" outlineLevel="0" collapsed="false">
      <c r="A84" s="9" t="s">
        <v>51</v>
      </c>
      <c r="B84" s="14" t="s">
        <v>165</v>
      </c>
      <c r="C84" s="11" t="s">
        <v>166</v>
      </c>
      <c r="D84" s="8" t="n">
        <v>0</v>
      </c>
    </row>
    <row r="85" customFormat="false" ht="15" hidden="false" customHeight="false" outlineLevel="0" collapsed="false">
      <c r="A85" s="9" t="s">
        <v>53</v>
      </c>
      <c r="B85" s="14" t="s">
        <v>168</v>
      </c>
      <c r="C85" s="11" t="s">
        <v>166</v>
      </c>
      <c r="D85" s="8" t="n">
        <v>8</v>
      </c>
    </row>
    <row r="88" customFormat="false" ht="15" hidden="false" customHeight="false" outlineLevel="0" collapsed="false">
      <c r="A88" s="13" t="s">
        <v>83</v>
      </c>
      <c r="B88" s="13"/>
      <c r="C88" s="13"/>
      <c r="D88" s="13"/>
    </row>
    <row r="89" customFormat="false" ht="15" hidden="false" customHeight="false" outlineLevel="0" collapsed="false">
      <c r="A89" s="4" t="s">
        <v>3</v>
      </c>
      <c r="B89" s="5" t="s">
        <v>84</v>
      </c>
      <c r="C89" s="5"/>
      <c r="F89" s="6" t="s">
        <v>5</v>
      </c>
      <c r="G89" s="6" t="s">
        <v>6</v>
      </c>
      <c r="H89" s="6" t="s">
        <v>7</v>
      </c>
      <c r="I89" s="6" t="s">
        <v>8</v>
      </c>
      <c r="J89" s="6" t="s">
        <v>9</v>
      </c>
    </row>
    <row r="90" customFormat="false" ht="15" hidden="false" customHeight="false" outlineLevel="0" collapsed="false">
      <c r="F90" s="8" t="n">
        <v>10</v>
      </c>
      <c r="G90" s="8" t="n">
        <v>4</v>
      </c>
      <c r="H90" s="8" t="n">
        <v>3</v>
      </c>
      <c r="I90" s="8" t="n">
        <v>18</v>
      </c>
      <c r="J90" s="8" t="n">
        <v>2</v>
      </c>
    </row>
    <row r="91" customFormat="false" ht="15" hidden="false" customHeight="false" outlineLevel="0" collapsed="false">
      <c r="A91" s="7" t="s">
        <v>10</v>
      </c>
      <c r="B91" s="7" t="s">
        <v>149</v>
      </c>
      <c r="C91" s="7" t="s">
        <v>150</v>
      </c>
      <c r="D91" s="7" t="s">
        <v>13</v>
      </c>
    </row>
    <row r="92" customFormat="false" ht="15" hidden="false" customHeight="false" outlineLevel="0" collapsed="false">
      <c r="A92" s="9" t="s">
        <v>14</v>
      </c>
      <c r="B92" s="10" t="s">
        <v>151</v>
      </c>
      <c r="C92" s="8" t="n">
        <v>2.5</v>
      </c>
      <c r="D92" s="12" t="n">
        <f aca="false">(B6+C6*F90+D6*I90)*C92</f>
        <v>715</v>
      </c>
    </row>
    <row r="93" customFormat="false" ht="15" hidden="false" customHeight="false" outlineLevel="0" collapsed="false">
      <c r="A93" s="9" t="s">
        <v>17</v>
      </c>
      <c r="B93" s="10" t="s">
        <v>152</v>
      </c>
      <c r="C93" s="8" t="n">
        <v>0.5</v>
      </c>
      <c r="D93" s="12" t="n">
        <f aca="false">(B7+C7*H90+D7*I90)*C93</f>
        <v>39</v>
      </c>
    </row>
    <row r="94" customFormat="false" ht="15" hidden="false" customHeight="false" outlineLevel="0" collapsed="false">
      <c r="A94" s="9" t="s">
        <v>20</v>
      </c>
      <c r="B94" s="10" t="s">
        <v>153</v>
      </c>
      <c r="C94" s="8" t="n">
        <v>0.9</v>
      </c>
      <c r="D94" s="12" t="n">
        <f aca="false">(B8+C8*F90+D8*G90)*C94</f>
        <v>22.68</v>
      </c>
    </row>
    <row r="95" customFormat="false" ht="15" hidden="false" customHeight="false" outlineLevel="0" collapsed="false">
      <c r="A95" s="9" t="s">
        <v>23</v>
      </c>
      <c r="B95" s="10" t="s">
        <v>154</v>
      </c>
      <c r="C95" s="8" t="n">
        <v>0.3</v>
      </c>
      <c r="D95" s="12" t="n">
        <f aca="false">(B9+C9*H90+D9*J90)*C95</f>
        <v>2.43</v>
      </c>
    </row>
    <row r="96" customFormat="false" ht="15" hidden="false" customHeight="false" outlineLevel="0" collapsed="false">
      <c r="A96" s="9" t="s">
        <v>25</v>
      </c>
      <c r="B96" s="10" t="s">
        <v>155</v>
      </c>
      <c r="C96" s="8" t="n">
        <v>2.2</v>
      </c>
      <c r="D96" s="12" t="n">
        <f aca="false">(B10+C10*I90+D10*F90)*C96</f>
        <v>70.4</v>
      </c>
    </row>
    <row r="97" customFormat="false" ht="15" hidden="false" customHeight="false" outlineLevel="0" collapsed="false">
      <c r="A97" s="9" t="s">
        <v>28</v>
      </c>
      <c r="B97" s="10" t="s">
        <v>156</v>
      </c>
      <c r="C97" s="8" t="n">
        <v>1.5</v>
      </c>
      <c r="D97" s="12" t="n">
        <f aca="false">(B11+C11*H90+D11*I90)*C97</f>
        <v>26.1</v>
      </c>
    </row>
    <row r="98" customFormat="false" ht="15" hidden="false" customHeight="false" outlineLevel="0" collapsed="false">
      <c r="A98" s="9" t="s">
        <v>30</v>
      </c>
      <c r="B98" s="10" t="s">
        <v>157</v>
      </c>
      <c r="C98" s="8" t="n">
        <v>0.7</v>
      </c>
      <c r="D98" s="12" t="n">
        <f aca="false">(MIN(MAX(B12+C12*G90,0.3),3))*C98</f>
        <v>0.602</v>
      </c>
    </row>
    <row r="99" customFormat="false" ht="15" hidden="false" customHeight="false" outlineLevel="0" collapsed="false">
      <c r="A99" s="9" t="s">
        <v>33</v>
      </c>
      <c r="B99" s="10" t="s">
        <v>158</v>
      </c>
      <c r="C99" s="8" t="n">
        <v>0.4</v>
      </c>
      <c r="D99" s="12" t="n">
        <f aca="false">(MIN(MAX(B13+C13*J90+D13*G90,0),80))*C99</f>
        <v>2.36</v>
      </c>
    </row>
    <row r="100" customFormat="false" ht="15" hidden="false" customHeight="false" outlineLevel="0" collapsed="false">
      <c r="A100" s="9" t="s">
        <v>36</v>
      </c>
      <c r="B100" s="10" t="s">
        <v>159</v>
      </c>
      <c r="C100" s="8" t="n">
        <v>0.9</v>
      </c>
      <c r="D100" s="12" t="n">
        <f aca="false">(B14+C14*J90)*C100</f>
        <v>136.44</v>
      </c>
    </row>
    <row r="101" customFormat="false" ht="15" hidden="false" customHeight="false" outlineLevel="0" collapsed="false">
      <c r="A101" s="9" t="s">
        <v>38</v>
      </c>
      <c r="B101" s="10" t="s">
        <v>160</v>
      </c>
      <c r="C101" s="8" t="n">
        <v>0.6</v>
      </c>
      <c r="D101" s="12" t="n">
        <f aca="false">(B15+C15*G90)*C101</f>
        <v>1.848</v>
      </c>
    </row>
    <row r="102" customFormat="false" ht="15" hidden="false" customHeight="false" outlineLevel="0" collapsed="false">
      <c r="A102" s="9" t="s">
        <v>41</v>
      </c>
      <c r="B102" s="10" t="s">
        <v>161</v>
      </c>
      <c r="C102" s="8" t="n">
        <v>1.5</v>
      </c>
      <c r="D102" s="12" t="n">
        <f aca="false">(B16+C16*I90)*C102</f>
        <v>4.2</v>
      </c>
    </row>
    <row r="103" customFormat="false" ht="15" hidden="false" customHeight="false" outlineLevel="0" collapsed="false">
      <c r="A103" s="9" t="s">
        <v>44</v>
      </c>
      <c r="B103" s="10" t="s">
        <v>162</v>
      </c>
      <c r="C103" s="8" t="n">
        <v>0.5</v>
      </c>
      <c r="D103" s="12" t="n">
        <f aca="false">(B17+C17*H90)*C103</f>
        <v>0.62</v>
      </c>
    </row>
    <row r="104" customFormat="false" ht="15" hidden="false" customHeight="false" outlineLevel="0" collapsed="false">
      <c r="A104" s="9" t="s">
        <v>47</v>
      </c>
      <c r="B104" s="10" t="s">
        <v>163</v>
      </c>
      <c r="C104" s="8" t="n">
        <v>0.2</v>
      </c>
      <c r="D104" s="12" t="n">
        <f aca="false">(MIN(MAX(C18*G90+D18*J90,0),75))*C104</f>
        <v>0.24</v>
      </c>
    </row>
    <row r="105" customFormat="false" ht="15" hidden="false" customHeight="false" outlineLevel="0" collapsed="false">
      <c r="A105" s="9" t="s">
        <v>49</v>
      </c>
      <c r="B105" s="10" t="s">
        <v>164</v>
      </c>
      <c r="C105" s="8" t="n">
        <v>0</v>
      </c>
      <c r="D105" s="12" t="n">
        <f aca="false">(C19*J90)*C105</f>
        <v>0</v>
      </c>
    </row>
    <row r="106" customFormat="false" ht="15" hidden="false" customHeight="false" outlineLevel="0" collapsed="false">
      <c r="A106" s="9" t="s">
        <v>51</v>
      </c>
      <c r="B106" s="14" t="s">
        <v>169</v>
      </c>
      <c r="C106" s="11" t="s">
        <v>166</v>
      </c>
      <c r="D106" s="8" t="n">
        <v>30</v>
      </c>
    </row>
    <row r="107" customFormat="false" ht="15" hidden="false" customHeight="false" outlineLevel="0" collapsed="false">
      <c r="A107" s="9" t="s">
        <v>53</v>
      </c>
      <c r="B107" s="14" t="s">
        <v>170</v>
      </c>
      <c r="C107" s="11" t="s">
        <v>166</v>
      </c>
      <c r="D107" s="8" t="n">
        <v>1.8</v>
      </c>
    </row>
    <row r="110" customFormat="false" ht="15" hidden="false" customHeight="false" outlineLevel="0" collapsed="false">
      <c r="A110" s="13" t="s">
        <v>100</v>
      </c>
      <c r="B110" s="13"/>
      <c r="C110" s="13"/>
      <c r="D110" s="13"/>
    </row>
    <row r="111" customFormat="false" ht="15" hidden="false" customHeight="false" outlineLevel="0" collapsed="false">
      <c r="A111" s="4" t="s">
        <v>3</v>
      </c>
      <c r="B111" s="5" t="s">
        <v>101</v>
      </c>
      <c r="C111" s="5"/>
      <c r="F111" s="6" t="s">
        <v>5</v>
      </c>
      <c r="G111" s="6" t="s">
        <v>6</v>
      </c>
      <c r="H111" s="6" t="s">
        <v>7</v>
      </c>
      <c r="I111" s="6" t="s">
        <v>8</v>
      </c>
      <c r="J111" s="6" t="s">
        <v>9</v>
      </c>
    </row>
    <row r="112" customFormat="false" ht="15" hidden="false" customHeight="false" outlineLevel="0" collapsed="false">
      <c r="F112" s="8" t="n">
        <v>5</v>
      </c>
      <c r="G112" s="8" t="n">
        <v>16</v>
      </c>
      <c r="H112" s="8" t="n">
        <v>2</v>
      </c>
      <c r="I112" s="8" t="n">
        <v>4</v>
      </c>
      <c r="J112" s="8" t="n">
        <v>6</v>
      </c>
    </row>
    <row r="113" customFormat="false" ht="15" hidden="false" customHeight="false" outlineLevel="0" collapsed="false">
      <c r="A113" s="7" t="s">
        <v>10</v>
      </c>
      <c r="B113" s="7" t="s">
        <v>149</v>
      </c>
      <c r="C113" s="7" t="s">
        <v>150</v>
      </c>
      <c r="D113" s="7" t="s">
        <v>13</v>
      </c>
    </row>
    <row r="114" customFormat="false" ht="15" hidden="false" customHeight="false" outlineLevel="0" collapsed="false">
      <c r="A114" s="9" t="s">
        <v>14</v>
      </c>
      <c r="B114" s="10" t="s">
        <v>151</v>
      </c>
      <c r="C114" s="8" t="n">
        <v>0.5</v>
      </c>
      <c r="D114" s="12" t="n">
        <f aca="false">(B6+C6*F112+D6*I112)*C114</f>
        <v>54</v>
      </c>
    </row>
    <row r="115" customFormat="false" ht="15" hidden="false" customHeight="false" outlineLevel="0" collapsed="false">
      <c r="A115" s="9" t="s">
        <v>17</v>
      </c>
      <c r="B115" s="10" t="s">
        <v>152</v>
      </c>
      <c r="C115" s="8" t="n">
        <v>0.3</v>
      </c>
      <c r="D115" s="12" t="n">
        <f aca="false">(B7+C7*H112+D7*I112)*C115</f>
        <v>16.2</v>
      </c>
    </row>
    <row r="116" customFormat="false" ht="15" hidden="false" customHeight="false" outlineLevel="0" collapsed="false">
      <c r="A116" s="9" t="s">
        <v>20</v>
      </c>
      <c r="B116" s="10" t="s">
        <v>153</v>
      </c>
      <c r="C116" s="8" t="n">
        <v>0.7</v>
      </c>
      <c r="D116" s="12" t="n">
        <f aca="false">(B8+C8*F112+D8*G112)*C116</f>
        <v>16.66</v>
      </c>
    </row>
    <row r="117" customFormat="false" ht="15" hidden="false" customHeight="false" outlineLevel="0" collapsed="false">
      <c r="A117" s="9" t="s">
        <v>23</v>
      </c>
      <c r="B117" s="10" t="s">
        <v>154</v>
      </c>
      <c r="C117" s="8" t="n">
        <v>0.2</v>
      </c>
      <c r="D117" s="12" t="n">
        <f aca="false">(B9+C9*H112+D9*J112)*C117</f>
        <v>1.36</v>
      </c>
    </row>
    <row r="118" customFormat="false" ht="15" hidden="false" customHeight="false" outlineLevel="0" collapsed="false">
      <c r="A118" s="9" t="s">
        <v>25</v>
      </c>
      <c r="B118" s="10" t="s">
        <v>155</v>
      </c>
      <c r="C118" s="8" t="n">
        <v>0.4</v>
      </c>
      <c r="D118" s="12" t="n">
        <f aca="false">(B10+C10*I112+D10*F112)*C118</f>
        <v>3.4</v>
      </c>
    </row>
    <row r="119" customFormat="false" ht="15" hidden="false" customHeight="false" outlineLevel="0" collapsed="false">
      <c r="A119" s="9" t="s">
        <v>28</v>
      </c>
      <c r="B119" s="10" t="s">
        <v>156</v>
      </c>
      <c r="C119" s="8" t="n">
        <v>0.4</v>
      </c>
      <c r="D119" s="12" t="n">
        <f aca="false">(B11+C11*H112+D11*I112)*C119</f>
        <v>2.08</v>
      </c>
    </row>
    <row r="120" customFormat="false" ht="15" hidden="false" customHeight="false" outlineLevel="0" collapsed="false">
      <c r="A120" s="9" t="s">
        <v>30</v>
      </c>
      <c r="B120" s="10" t="s">
        <v>157</v>
      </c>
      <c r="C120" s="8" t="n">
        <v>1.3</v>
      </c>
      <c r="D120" s="12" t="n">
        <f aca="false">(MIN(MAX(B12+C12*G112,0.3),3))*C120</f>
        <v>1.352</v>
      </c>
    </row>
    <row r="121" customFormat="false" ht="15" hidden="false" customHeight="false" outlineLevel="0" collapsed="false">
      <c r="A121" s="9" t="s">
        <v>33</v>
      </c>
      <c r="B121" s="10" t="s">
        <v>158</v>
      </c>
      <c r="C121" s="8" t="n">
        <v>0.8</v>
      </c>
      <c r="D121" s="12" t="n">
        <f aca="false">(MIN(MAX(B13+C13*J112+D13*G112,0),80))*C121</f>
        <v>6.32</v>
      </c>
    </row>
    <row r="122" customFormat="false" ht="15" hidden="false" customHeight="false" outlineLevel="0" collapsed="false">
      <c r="A122" s="9" t="s">
        <v>36</v>
      </c>
      <c r="B122" s="10" t="s">
        <v>159</v>
      </c>
      <c r="C122" s="8" t="n">
        <v>1</v>
      </c>
      <c r="D122" s="12" t="n">
        <f aca="false">(B14+C14*J112)*C122</f>
        <v>154.8</v>
      </c>
    </row>
    <row r="123" customFormat="false" ht="15" hidden="false" customHeight="false" outlineLevel="0" collapsed="false">
      <c r="A123" s="9" t="s">
        <v>38</v>
      </c>
      <c r="B123" s="10" t="s">
        <v>160</v>
      </c>
      <c r="C123" s="8" t="n">
        <v>1.6</v>
      </c>
      <c r="D123" s="12" t="n">
        <f aca="false">(B15+C15*G112)*C123</f>
        <v>5.312</v>
      </c>
    </row>
    <row r="124" customFormat="false" ht="15" hidden="false" customHeight="false" outlineLevel="0" collapsed="false">
      <c r="A124" s="9" t="s">
        <v>41</v>
      </c>
      <c r="B124" s="10" t="s">
        <v>161</v>
      </c>
      <c r="C124" s="8" t="n">
        <v>0.5</v>
      </c>
      <c r="D124" s="12" t="n">
        <f aca="false">(B16+C16*I112)*C124</f>
        <v>0.7</v>
      </c>
    </row>
    <row r="125" customFormat="false" ht="15" hidden="false" customHeight="false" outlineLevel="0" collapsed="false">
      <c r="A125" s="9" t="s">
        <v>44</v>
      </c>
      <c r="B125" s="10" t="s">
        <v>162</v>
      </c>
      <c r="C125" s="8" t="n">
        <v>0.3</v>
      </c>
      <c r="D125" s="12" t="n">
        <f aca="false">(B17+C17*H112)*C125</f>
        <v>0.348</v>
      </c>
    </row>
    <row r="126" customFormat="false" ht="15" hidden="false" customHeight="false" outlineLevel="0" collapsed="false">
      <c r="A126" s="9" t="s">
        <v>47</v>
      </c>
      <c r="B126" s="10" t="s">
        <v>163</v>
      </c>
      <c r="C126" s="8" t="n">
        <v>1.8</v>
      </c>
      <c r="D126" s="12" t="n">
        <f aca="false">(MIN(MAX(C18*G112+D18*J112,0),75))*C126</f>
        <v>8.28</v>
      </c>
    </row>
    <row r="127" customFormat="false" ht="15" hidden="false" customHeight="false" outlineLevel="0" collapsed="false">
      <c r="A127" s="9" t="s">
        <v>49</v>
      </c>
      <c r="B127" s="10" t="s">
        <v>164</v>
      </c>
      <c r="C127" s="8" t="n">
        <v>0</v>
      </c>
      <c r="D127" s="12" t="n">
        <f aca="false">(C19*J112)*C127</f>
        <v>0</v>
      </c>
    </row>
    <row r="128" customFormat="false" ht="15" hidden="false" customHeight="false" outlineLevel="0" collapsed="false">
      <c r="A128" s="9" t="s">
        <v>51</v>
      </c>
      <c r="B128" s="14" t="s">
        <v>165</v>
      </c>
      <c r="C128" s="11" t="s">
        <v>166</v>
      </c>
      <c r="D128" s="8" t="n">
        <v>0</v>
      </c>
    </row>
    <row r="129" customFormat="false" ht="15" hidden="false" customHeight="false" outlineLevel="0" collapsed="false">
      <c r="A129" s="9" t="s">
        <v>53</v>
      </c>
      <c r="B129" s="14" t="s">
        <v>171</v>
      </c>
      <c r="C129" s="11" t="s">
        <v>166</v>
      </c>
      <c r="D129" s="8" t="n">
        <v>1.2</v>
      </c>
    </row>
    <row r="132" customFormat="false" ht="15" hidden="false" customHeight="false" outlineLevel="0" collapsed="false">
      <c r="A132" s="13" t="s">
        <v>113</v>
      </c>
      <c r="B132" s="13"/>
      <c r="C132" s="13"/>
      <c r="D132" s="13"/>
    </row>
    <row r="133" customFormat="false" ht="15" hidden="false" customHeight="false" outlineLevel="0" collapsed="false">
      <c r="A133" s="4" t="s">
        <v>3</v>
      </c>
      <c r="B133" s="5" t="s">
        <v>114</v>
      </c>
      <c r="C133" s="5"/>
      <c r="F133" s="6" t="s">
        <v>5</v>
      </c>
      <c r="G133" s="6" t="s">
        <v>6</v>
      </c>
      <c r="H133" s="6" t="s">
        <v>7</v>
      </c>
      <c r="I133" s="6" t="s">
        <v>8</v>
      </c>
      <c r="J133" s="6" t="s">
        <v>9</v>
      </c>
    </row>
    <row r="134" customFormat="false" ht="15" hidden="false" customHeight="false" outlineLevel="0" collapsed="false">
      <c r="F134" s="8" t="n">
        <v>7</v>
      </c>
      <c r="G134" s="8" t="n">
        <v>14</v>
      </c>
      <c r="H134" s="8" t="n">
        <v>4</v>
      </c>
      <c r="I134" s="8" t="n">
        <v>5</v>
      </c>
      <c r="J134" s="8" t="n">
        <v>12</v>
      </c>
    </row>
    <row r="135" customFormat="false" ht="15" hidden="false" customHeight="false" outlineLevel="0" collapsed="false">
      <c r="A135" s="7" t="s">
        <v>10</v>
      </c>
      <c r="B135" s="7" t="s">
        <v>149</v>
      </c>
      <c r="C135" s="7" t="s">
        <v>150</v>
      </c>
      <c r="D135" s="7" t="s">
        <v>13</v>
      </c>
    </row>
    <row r="136" customFormat="false" ht="15" hidden="false" customHeight="false" outlineLevel="0" collapsed="false">
      <c r="A136" s="9" t="s">
        <v>14</v>
      </c>
      <c r="B136" s="10" t="s">
        <v>151</v>
      </c>
      <c r="C136" s="8" t="n">
        <v>0.6</v>
      </c>
      <c r="D136" s="12" t="n">
        <f aca="false">(B6+C6*F134+D6*I134)*C136</f>
        <v>74.4</v>
      </c>
    </row>
    <row r="137" customFormat="false" ht="15" hidden="false" customHeight="false" outlineLevel="0" collapsed="false">
      <c r="A137" s="9" t="s">
        <v>17</v>
      </c>
      <c r="B137" s="10" t="s">
        <v>152</v>
      </c>
      <c r="C137" s="8" t="n">
        <v>0.4</v>
      </c>
      <c r="D137" s="12" t="n">
        <f aca="false">(B7+C7*H134+D7*I134)*C137</f>
        <v>30</v>
      </c>
    </row>
    <row r="138" customFormat="false" ht="15" hidden="false" customHeight="false" outlineLevel="0" collapsed="false">
      <c r="A138" s="9" t="s">
        <v>20</v>
      </c>
      <c r="B138" s="10" t="s">
        <v>153</v>
      </c>
      <c r="C138" s="8" t="n">
        <v>1.3</v>
      </c>
      <c r="D138" s="12" t="n">
        <f aca="false">(B8+C8*F134+D8*G134)*C138</f>
        <v>34.58</v>
      </c>
    </row>
    <row r="139" customFormat="false" ht="15" hidden="false" customHeight="false" outlineLevel="0" collapsed="false">
      <c r="A139" s="9" t="s">
        <v>23</v>
      </c>
      <c r="B139" s="10" t="s">
        <v>154</v>
      </c>
      <c r="C139" s="8" t="n">
        <v>0.5</v>
      </c>
      <c r="D139" s="12" t="n">
        <f aca="false">(B9+C9*H134+D9*J134)*C139</f>
        <v>6.8</v>
      </c>
    </row>
    <row r="140" customFormat="false" ht="15" hidden="false" customHeight="false" outlineLevel="0" collapsed="false">
      <c r="A140" s="9" t="s">
        <v>25</v>
      </c>
      <c r="B140" s="10" t="s">
        <v>155</v>
      </c>
      <c r="C140" s="8" t="n">
        <v>0.5</v>
      </c>
      <c r="D140" s="12" t="n">
        <f aca="false">(B10+C10*I134+D10*F134)*C140</f>
        <v>5.5</v>
      </c>
    </row>
    <row r="141" customFormat="false" ht="15" hidden="false" customHeight="false" outlineLevel="0" collapsed="false">
      <c r="A141" s="9" t="s">
        <v>28</v>
      </c>
      <c r="B141" s="10" t="s">
        <v>156</v>
      </c>
      <c r="C141" s="8" t="n">
        <v>0.5</v>
      </c>
      <c r="D141" s="12" t="n">
        <f aca="false">(B11+C11*H134+D11*I134)*C141</f>
        <v>4</v>
      </c>
    </row>
    <row r="142" customFormat="false" ht="15" hidden="false" customHeight="false" outlineLevel="0" collapsed="false">
      <c r="A142" s="9" t="s">
        <v>30</v>
      </c>
      <c r="B142" s="10" t="s">
        <v>157</v>
      </c>
      <c r="C142" s="8" t="n">
        <v>1.4</v>
      </c>
      <c r="D142" s="12" t="n">
        <f aca="false">(MIN(MAX(B12+C12*G134,0.3),3))*C142</f>
        <v>1.414</v>
      </c>
    </row>
    <row r="143" customFormat="false" ht="15" hidden="false" customHeight="false" outlineLevel="0" collapsed="false">
      <c r="A143" s="9" t="s">
        <v>33</v>
      </c>
      <c r="B143" s="10" t="s">
        <v>158</v>
      </c>
      <c r="C143" s="8" t="n">
        <v>2</v>
      </c>
      <c r="D143" s="12" t="n">
        <f aca="false">(MIN(MAX(B13+C13*J134+D13*G134,0),80))*C143</f>
        <v>19.8</v>
      </c>
    </row>
    <row r="144" customFormat="false" ht="15" hidden="false" customHeight="false" outlineLevel="0" collapsed="false">
      <c r="A144" s="9" t="s">
        <v>36</v>
      </c>
      <c r="B144" s="10" t="s">
        <v>159</v>
      </c>
      <c r="C144" s="8" t="n">
        <v>1.5</v>
      </c>
      <c r="D144" s="12" t="n">
        <f aca="false">(B14+C14*J134)*C144</f>
        <v>239.4</v>
      </c>
    </row>
    <row r="145" customFormat="false" ht="15" hidden="false" customHeight="false" outlineLevel="0" collapsed="false">
      <c r="A145" s="9" t="s">
        <v>38</v>
      </c>
      <c r="B145" s="10" t="s">
        <v>160</v>
      </c>
      <c r="C145" s="8" t="n">
        <v>1.3</v>
      </c>
      <c r="D145" s="12" t="n">
        <f aca="false">(B15+C15*G134)*C145</f>
        <v>4.264</v>
      </c>
    </row>
    <row r="146" customFormat="false" ht="15" hidden="false" customHeight="false" outlineLevel="0" collapsed="false">
      <c r="A146" s="9" t="s">
        <v>41</v>
      </c>
      <c r="B146" s="10" t="s">
        <v>161</v>
      </c>
      <c r="C146" s="8" t="n">
        <v>0.5</v>
      </c>
      <c r="D146" s="12" t="n">
        <f aca="false">(B16+C16*I134)*C146</f>
        <v>0.75</v>
      </c>
    </row>
    <row r="147" customFormat="false" ht="15" hidden="false" customHeight="false" outlineLevel="0" collapsed="false">
      <c r="A147" s="9" t="s">
        <v>44</v>
      </c>
      <c r="B147" s="10" t="s">
        <v>162</v>
      </c>
      <c r="C147" s="8" t="n">
        <v>0.5</v>
      </c>
      <c r="D147" s="12" t="n">
        <f aca="false">(B17+C17*H134)*C147</f>
        <v>0.66</v>
      </c>
    </row>
    <row r="148" customFormat="false" ht="15" hidden="false" customHeight="false" outlineLevel="0" collapsed="false">
      <c r="A148" s="9" t="s">
        <v>47</v>
      </c>
      <c r="B148" s="10" t="s">
        <v>163</v>
      </c>
      <c r="C148" s="8" t="n">
        <v>1.5</v>
      </c>
      <c r="D148" s="12" t="n">
        <f aca="false">(MIN(MAX(C18*G134+D18*J134,0),75))*C148</f>
        <v>7.05</v>
      </c>
    </row>
    <row r="149" customFormat="false" ht="15" hidden="false" customHeight="false" outlineLevel="0" collapsed="false">
      <c r="A149" s="9" t="s">
        <v>49</v>
      </c>
      <c r="B149" s="10" t="s">
        <v>164</v>
      </c>
      <c r="C149" s="8" t="n">
        <v>1.5</v>
      </c>
      <c r="D149" s="12" t="n">
        <f aca="false">(C19*J134)*C149</f>
        <v>0.9</v>
      </c>
    </row>
    <row r="150" customFormat="false" ht="15" hidden="false" customHeight="false" outlineLevel="0" collapsed="false">
      <c r="A150" s="9" t="s">
        <v>51</v>
      </c>
      <c r="B150" s="14" t="s">
        <v>165</v>
      </c>
      <c r="C150" s="11" t="s">
        <v>166</v>
      </c>
      <c r="D150" s="8" t="n">
        <v>0</v>
      </c>
    </row>
    <row r="151" customFormat="false" ht="15" hidden="false" customHeight="false" outlineLevel="0" collapsed="false">
      <c r="A151" s="9" t="s">
        <v>53</v>
      </c>
      <c r="B151" s="14" t="s">
        <v>170</v>
      </c>
      <c r="C151" s="11" t="s">
        <v>166</v>
      </c>
      <c r="D151" s="8" t="n">
        <v>1.8</v>
      </c>
    </row>
    <row r="154" customFormat="false" ht="15" hidden="false" customHeight="false" outlineLevel="0" collapsed="false">
      <c r="A154" s="13" t="s">
        <v>126</v>
      </c>
      <c r="B154" s="13"/>
      <c r="C154" s="13"/>
      <c r="D154" s="13"/>
    </row>
    <row r="155" customFormat="false" ht="15" hidden="false" customHeight="false" outlineLevel="0" collapsed="false">
      <c r="A155" s="4" t="s">
        <v>3</v>
      </c>
      <c r="B155" s="5" t="s">
        <v>127</v>
      </c>
      <c r="C155" s="5"/>
      <c r="F155" s="6" t="s">
        <v>5</v>
      </c>
      <c r="G155" s="6" t="s">
        <v>6</v>
      </c>
      <c r="H155" s="6" t="s">
        <v>7</v>
      </c>
      <c r="I155" s="6" t="s">
        <v>8</v>
      </c>
      <c r="J155" s="6" t="s">
        <v>9</v>
      </c>
    </row>
    <row r="156" customFormat="false" ht="15" hidden="false" customHeight="false" outlineLevel="0" collapsed="false">
      <c r="F156" s="8" t="n">
        <v>25</v>
      </c>
      <c r="G156" s="8" t="n">
        <v>14</v>
      </c>
      <c r="H156" s="8" t="n">
        <v>18</v>
      </c>
      <c r="I156" s="8" t="n">
        <v>30</v>
      </c>
      <c r="J156" s="8" t="n">
        <v>10</v>
      </c>
    </row>
    <row r="157" customFormat="false" ht="15" hidden="false" customHeight="false" outlineLevel="0" collapsed="false">
      <c r="A157" s="7" t="s">
        <v>10</v>
      </c>
      <c r="B157" s="7" t="s">
        <v>149</v>
      </c>
      <c r="C157" s="7" t="s">
        <v>150</v>
      </c>
      <c r="D157" s="7" t="s">
        <v>13</v>
      </c>
    </row>
    <row r="158" customFormat="false" ht="15" hidden="false" customHeight="false" outlineLevel="0" collapsed="false">
      <c r="A158" s="9" t="s">
        <v>14</v>
      </c>
      <c r="B158" s="10" t="s">
        <v>151</v>
      </c>
      <c r="C158" s="8" t="n">
        <v>20</v>
      </c>
      <c r="D158" s="12" t="n">
        <f aca="false">(B6+C6*F156+D6*I156)*C158</f>
        <v>9200</v>
      </c>
    </row>
    <row r="159" customFormat="false" ht="15" hidden="false" customHeight="false" outlineLevel="0" collapsed="false">
      <c r="A159" s="9" t="s">
        <v>17</v>
      </c>
      <c r="B159" s="10" t="s">
        <v>152</v>
      </c>
      <c r="C159" s="8" t="n">
        <v>3</v>
      </c>
      <c r="D159" s="12" t="n">
        <f aca="false">(B7+C7*H156+D7*I156)*C159</f>
        <v>720</v>
      </c>
    </row>
    <row r="160" customFormat="false" ht="15" hidden="false" customHeight="false" outlineLevel="0" collapsed="false">
      <c r="A160" s="9" t="s">
        <v>20</v>
      </c>
      <c r="B160" s="10" t="s">
        <v>153</v>
      </c>
      <c r="C160" s="8" t="n">
        <v>2.5</v>
      </c>
      <c r="D160" s="12" t="n">
        <f aca="false">(B8+C8*F156+D8*G156)*C160</f>
        <v>165.5</v>
      </c>
    </row>
    <row r="161" customFormat="false" ht="15" hidden="false" customHeight="false" outlineLevel="0" collapsed="false">
      <c r="A161" s="9" t="s">
        <v>23</v>
      </c>
      <c r="B161" s="10" t="s">
        <v>154</v>
      </c>
      <c r="C161" s="8" t="n">
        <v>2</v>
      </c>
      <c r="D161" s="12" t="n">
        <f aca="false">(B9+C9*H156+D9*J156)*C161</f>
        <v>96</v>
      </c>
    </row>
    <row r="162" customFormat="false" ht="15" hidden="false" customHeight="false" outlineLevel="0" collapsed="false">
      <c r="A162" s="9" t="s">
        <v>25</v>
      </c>
      <c r="B162" s="10" t="s">
        <v>155</v>
      </c>
      <c r="C162" s="8" t="n">
        <v>2</v>
      </c>
      <c r="D162" s="12" t="n">
        <f aca="false">(B10+C10*I156+D10*F156)*C162</f>
        <v>115</v>
      </c>
    </row>
    <row r="163" customFormat="false" ht="15" hidden="false" customHeight="false" outlineLevel="0" collapsed="false">
      <c r="A163" s="9" t="s">
        <v>28</v>
      </c>
      <c r="B163" s="10" t="s">
        <v>156</v>
      </c>
      <c r="C163" s="8" t="n">
        <v>2</v>
      </c>
      <c r="D163" s="12" t="n">
        <f aca="false">(B11+C11*H156+D11*I156)*C163</f>
        <v>84</v>
      </c>
    </row>
    <row r="164" customFormat="false" ht="15" hidden="false" customHeight="false" outlineLevel="0" collapsed="false">
      <c r="A164" s="9" t="s">
        <v>30</v>
      </c>
      <c r="B164" s="10" t="s">
        <v>157</v>
      </c>
      <c r="C164" s="8" t="n">
        <v>0.9</v>
      </c>
      <c r="D164" s="12" t="n">
        <f aca="false">(MIN(MAX(B12+C12*G156,0.3),3))*C164</f>
        <v>0.909</v>
      </c>
    </row>
    <row r="165" customFormat="false" ht="15" hidden="false" customHeight="false" outlineLevel="0" collapsed="false">
      <c r="A165" s="9" t="s">
        <v>33</v>
      </c>
      <c r="B165" s="10" t="s">
        <v>158</v>
      </c>
      <c r="C165" s="8" t="n">
        <v>1</v>
      </c>
      <c r="D165" s="12" t="n">
        <f aca="false">(MIN(MAX(B13+C13*J156+D13*G156,0),80))*C165</f>
        <v>9.2</v>
      </c>
    </row>
    <row r="166" customFormat="false" ht="15" hidden="false" customHeight="false" outlineLevel="0" collapsed="false">
      <c r="A166" s="9" t="s">
        <v>36</v>
      </c>
      <c r="B166" s="10" t="s">
        <v>159</v>
      </c>
      <c r="C166" s="8" t="n">
        <v>1.2</v>
      </c>
      <c r="D166" s="12" t="n">
        <f aca="false">(B14+C14*J156)*C166</f>
        <v>189.6</v>
      </c>
    </row>
    <row r="167" customFormat="false" ht="15" hidden="false" customHeight="false" outlineLevel="0" collapsed="false">
      <c r="A167" s="9" t="s">
        <v>38</v>
      </c>
      <c r="B167" s="10" t="s">
        <v>160</v>
      </c>
      <c r="C167" s="8" t="n">
        <v>0.7</v>
      </c>
      <c r="D167" s="12" t="n">
        <f aca="false">(B15+C15*G156)*C167</f>
        <v>2.296</v>
      </c>
    </row>
    <row r="168" customFormat="false" ht="15" hidden="false" customHeight="false" outlineLevel="0" collapsed="false">
      <c r="A168" s="9" t="s">
        <v>41</v>
      </c>
      <c r="B168" s="10" t="s">
        <v>161</v>
      </c>
      <c r="C168" s="8" t="n">
        <v>3</v>
      </c>
      <c r="D168" s="12" t="n">
        <f aca="false">(B16+C16*I156)*C168</f>
        <v>12</v>
      </c>
    </row>
    <row r="169" customFormat="false" ht="15" hidden="false" customHeight="false" outlineLevel="0" collapsed="false">
      <c r="A169" s="9" t="s">
        <v>44</v>
      </c>
      <c r="B169" s="10" t="s">
        <v>162</v>
      </c>
      <c r="C169" s="8" t="n">
        <v>2</v>
      </c>
      <c r="D169" s="12" t="n">
        <f aca="false">(B17+C17*H156)*C169</f>
        <v>4.88</v>
      </c>
    </row>
    <row r="170" customFormat="false" ht="15" hidden="false" customHeight="false" outlineLevel="0" collapsed="false">
      <c r="A170" s="9" t="s">
        <v>47</v>
      </c>
      <c r="B170" s="10" t="s">
        <v>163</v>
      </c>
      <c r="C170" s="8" t="n">
        <v>0.5</v>
      </c>
      <c r="D170" s="12" t="n">
        <f aca="false">(MIN(MAX(C18*G156+D18*J156,0),75))*C170</f>
        <v>2.25</v>
      </c>
    </row>
    <row r="171" customFormat="false" ht="15" hidden="false" customHeight="false" outlineLevel="0" collapsed="false">
      <c r="A171" s="9" t="s">
        <v>49</v>
      </c>
      <c r="B171" s="10" t="s">
        <v>164</v>
      </c>
      <c r="C171" s="8" t="n">
        <v>1</v>
      </c>
      <c r="D171" s="12" t="n">
        <f aca="false">(C19*J156)*C171</f>
        <v>0.5</v>
      </c>
    </row>
    <row r="172" customFormat="false" ht="15" hidden="false" customHeight="false" outlineLevel="0" collapsed="false">
      <c r="A172" s="9" t="s">
        <v>51</v>
      </c>
      <c r="B172" s="14" t="s">
        <v>172</v>
      </c>
      <c r="C172" s="11" t="s">
        <v>166</v>
      </c>
      <c r="D172" s="8" t="n">
        <v>90</v>
      </c>
    </row>
    <row r="173" customFormat="false" ht="15" hidden="false" customHeight="false" outlineLevel="0" collapsed="false">
      <c r="A173" s="9" t="s">
        <v>53</v>
      </c>
      <c r="B173" s="14" t="s">
        <v>173</v>
      </c>
      <c r="C173" s="11" t="s">
        <v>166</v>
      </c>
      <c r="D173" s="8" t="n">
        <v>3</v>
      </c>
    </row>
  </sheetData>
  <mergeCells count="14">
    <mergeCell ref="A22:D22"/>
    <mergeCell ref="B23:C23"/>
    <mergeCell ref="A44:D44"/>
    <mergeCell ref="B45:C45"/>
    <mergeCell ref="A66:D66"/>
    <mergeCell ref="B67:C67"/>
    <mergeCell ref="A88:D88"/>
    <mergeCell ref="B89:C89"/>
    <mergeCell ref="A110:D110"/>
    <mergeCell ref="B111:C111"/>
    <mergeCell ref="A132:D132"/>
    <mergeCell ref="B133:C133"/>
    <mergeCell ref="A154:D154"/>
    <mergeCell ref="B155:C1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2026-06-30T08:28:49Z</dcterms:created>
  <dc:creator>openpyxl</dc:creator>
  <dc:description/>
  <dc:language>en-US</dc:language>
  <cp:lastModifiedBy/>
  <dcterms:modified xsi:type="dcterms:W3CDTF">2026-06-30T08:29:34Z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